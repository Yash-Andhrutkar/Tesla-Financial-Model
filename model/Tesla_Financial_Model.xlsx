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3eea189709fa14b/Desktop/Github/"/>
    </mc:Choice>
  </mc:AlternateContent>
  <xr:revisionPtr revIDLastSave="38" documentId="14_{24F603E1-48DE-429B-B65B-E16DFD3DDCAF}" xr6:coauthVersionLast="47" xr6:coauthVersionMax="47" xr10:uidLastSave="{7646DD32-DAC8-4F98-810E-0CDE4ED2DD40}"/>
  <bookViews>
    <workbookView xWindow="-108" yWindow="-108" windowWidth="23256" windowHeight="12456" firstSheet="13" activeTab="17" xr2:uid="{00000000-000D-0000-FFFF-FFFF00000000}"/>
  </bookViews>
  <sheets>
    <sheet name="Cover" sheetId="1" r:id="rId1"/>
    <sheet name="Model Summary" sheetId="2" r:id="rId2"/>
    <sheet name="Assumptions" sheetId="3" r:id="rId3"/>
    <sheet name="Revenue Build-up" sheetId="4" r:id="rId4"/>
    <sheet name="Cost Build-up" sheetId="5" r:id="rId5"/>
    <sheet name="IS" sheetId="6" r:id="rId6"/>
    <sheet name="BS" sheetId="7" r:id="rId7"/>
    <sheet name="Asset Schedule" sheetId="8" r:id="rId8"/>
    <sheet name="Loans &amp; Other Income" sheetId="9" r:id="rId9"/>
    <sheet name="Tax Schedule" sheetId="10" r:id="rId10"/>
    <sheet name="Equity Schedule" sheetId="11" r:id="rId11"/>
    <sheet name="Cashflow" sheetId="12" r:id="rId12"/>
    <sheet name="Ratio Analysis" sheetId="13" r:id="rId13"/>
    <sheet name="Comparable Companies" sheetId="14" r:id="rId14"/>
    <sheet name="Precedent Transactions" sheetId="15" r:id="rId15"/>
    <sheet name="Valuation" sheetId="16" r:id="rId16"/>
    <sheet name="Scenario Analysis" sheetId="17" r:id="rId17"/>
    <sheet name="Reverse DCF" sheetId="18" r:id="rId18"/>
    <sheet name="Model Checks" sheetId="19" r:id="rId19"/>
    <sheet name="Sources &amp; Notes"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3" l="1"/>
  <c r="L5" i="4" s="1"/>
  <c r="F7" i="16"/>
  <c r="E10" i="19"/>
  <c r="H85" i="18"/>
  <c r="H84" i="18"/>
  <c r="H83" i="18"/>
  <c r="H82" i="18"/>
  <c r="H81" i="18"/>
  <c r="H80" i="18"/>
  <c r="N79" i="18"/>
  <c r="M79" i="18"/>
  <c r="L79" i="18"/>
  <c r="K79" i="18"/>
  <c r="J79" i="18"/>
  <c r="I79" i="18"/>
  <c r="H71" i="18"/>
  <c r="I70" i="18"/>
  <c r="L37" i="18"/>
  <c r="K37" i="18"/>
  <c r="J37" i="18"/>
  <c r="I37" i="18"/>
  <c r="H37" i="18"/>
  <c r="L36" i="18"/>
  <c r="K36" i="18"/>
  <c r="J36" i="18"/>
  <c r="I36" i="18"/>
  <c r="H36" i="18"/>
  <c r="F11" i="18"/>
  <c r="F7" i="18"/>
  <c r="F6" i="18"/>
  <c r="F5" i="18"/>
  <c r="K121" i="17"/>
  <c r="L110" i="17"/>
  <c r="L107" i="17"/>
  <c r="L111" i="17" s="1"/>
  <c r="K107" i="17"/>
  <c r="L106" i="17"/>
  <c r="M106" i="17" s="1"/>
  <c r="K106" i="17"/>
  <c r="K104" i="17"/>
  <c r="L104" i="17" s="1"/>
  <c r="M104" i="17" s="1"/>
  <c r="N104" i="17" s="1"/>
  <c r="O104" i="17" s="1"/>
  <c r="P104" i="17" s="1"/>
  <c r="M103" i="17"/>
  <c r="L103" i="17"/>
  <c r="L105" i="17" s="1"/>
  <c r="P102" i="17"/>
  <c r="K102" i="17"/>
  <c r="L102" i="17" s="1"/>
  <c r="M102" i="17" s="1"/>
  <c r="N102" i="17" s="1"/>
  <c r="O102" i="17" s="1"/>
  <c r="O101" i="17"/>
  <c r="K101" i="17"/>
  <c r="L101" i="17" s="1"/>
  <c r="M101" i="17" s="1"/>
  <c r="N101" i="17" s="1"/>
  <c r="N103" i="17" s="1"/>
  <c r="P100" i="17"/>
  <c r="O100" i="17"/>
  <c r="N100" i="17"/>
  <c r="M100" i="17"/>
  <c r="L100" i="17"/>
  <c r="K100" i="17"/>
  <c r="K83" i="17"/>
  <c r="M69" i="17"/>
  <c r="L69" i="17"/>
  <c r="L73" i="17" s="1"/>
  <c r="K69" i="17"/>
  <c r="L68" i="17"/>
  <c r="K68" i="17"/>
  <c r="N66" i="17"/>
  <c r="O66" i="17" s="1"/>
  <c r="P66" i="17" s="1"/>
  <c r="K66" i="17"/>
  <c r="L66" i="17" s="1"/>
  <c r="M66" i="17" s="1"/>
  <c r="K64" i="17"/>
  <c r="L64" i="17" s="1"/>
  <c r="M64" i="17" s="1"/>
  <c r="N64" i="17" s="1"/>
  <c r="O64" i="17" s="1"/>
  <c r="P64" i="17" s="1"/>
  <c r="K63" i="17"/>
  <c r="L63" i="17" s="1"/>
  <c r="P62" i="17"/>
  <c r="O62" i="17"/>
  <c r="N62" i="17"/>
  <c r="M62" i="17"/>
  <c r="L62" i="17"/>
  <c r="K62" i="17"/>
  <c r="K45" i="17"/>
  <c r="M31" i="17"/>
  <c r="L31" i="17"/>
  <c r="L35" i="17" s="1"/>
  <c r="K31" i="17"/>
  <c r="M30" i="17"/>
  <c r="L30" i="17"/>
  <c r="L34" i="17" s="1"/>
  <c r="K30" i="17"/>
  <c r="M28" i="17"/>
  <c r="N28" i="17" s="1"/>
  <c r="O28" i="17" s="1"/>
  <c r="P28" i="17" s="1"/>
  <c r="K28" i="17"/>
  <c r="L28" i="17" s="1"/>
  <c r="K26" i="17"/>
  <c r="L26" i="17" s="1"/>
  <c r="M26" i="17" s="1"/>
  <c r="N26" i="17" s="1"/>
  <c r="O26" i="17" s="1"/>
  <c r="P26" i="17" s="1"/>
  <c r="K25" i="17"/>
  <c r="L25" i="17" s="1"/>
  <c r="P24" i="17"/>
  <c r="O24" i="17"/>
  <c r="N24" i="17"/>
  <c r="M24" i="17"/>
  <c r="L24" i="17"/>
  <c r="K24" i="17"/>
  <c r="K5" i="17"/>
  <c r="I5" i="17"/>
  <c r="G5" i="17"/>
  <c r="F118" i="16"/>
  <c r="E92" i="16"/>
  <c r="E91" i="16"/>
  <c r="E87" i="16"/>
  <c r="K57" i="16"/>
  <c r="K55" i="16"/>
  <c r="K51" i="16"/>
  <c r="F10" i="18" s="1"/>
  <c r="K50" i="16"/>
  <c r="F9" i="18" s="1"/>
  <c r="M40" i="16"/>
  <c r="N40" i="16" s="1"/>
  <c r="O40" i="16" s="1"/>
  <c r="P40" i="16" s="1"/>
  <c r="F34" i="16"/>
  <c r="F18" i="16"/>
  <c r="F13" i="16"/>
  <c r="F116" i="16" s="1"/>
  <c r="F117" i="16" s="1"/>
  <c r="F12" i="16"/>
  <c r="F115" i="16" s="1"/>
  <c r="F10" i="16"/>
  <c r="F9" i="16"/>
  <c r="F11" i="16" s="1"/>
  <c r="F6" i="16"/>
  <c r="F114" i="16" s="1"/>
  <c r="F5" i="16"/>
  <c r="F8" i="16" s="1"/>
  <c r="H14" i="15"/>
  <c r="G14" i="15"/>
  <c r="F14" i="15"/>
  <c r="D14" i="15"/>
  <c r="I10" i="15"/>
  <c r="H10" i="15"/>
  <c r="I9" i="15"/>
  <c r="H9" i="15"/>
  <c r="I8" i="15"/>
  <c r="H8" i="15"/>
  <c r="I7" i="15"/>
  <c r="H7" i="15"/>
  <c r="I6" i="15"/>
  <c r="H6" i="15"/>
  <c r="J98" i="14"/>
  <c r="G96" i="14"/>
  <c r="J94" i="14"/>
  <c r="G92" i="14"/>
  <c r="J90" i="14"/>
  <c r="G88" i="14"/>
  <c r="J84" i="14"/>
  <c r="J82" i="14"/>
  <c r="J81" i="14"/>
  <c r="J80" i="14"/>
  <c r="G79" i="14"/>
  <c r="J77" i="14"/>
  <c r="J75" i="14"/>
  <c r="J74" i="14"/>
  <c r="J73" i="14"/>
  <c r="G72" i="14"/>
  <c r="J70" i="14"/>
  <c r="J68" i="14"/>
  <c r="J67" i="14"/>
  <c r="J66" i="14"/>
  <c r="G65" i="14"/>
  <c r="J62" i="14"/>
  <c r="J60" i="14"/>
  <c r="J59" i="14"/>
  <c r="J58" i="14"/>
  <c r="G57" i="14"/>
  <c r="J55" i="14"/>
  <c r="J53" i="14"/>
  <c r="J52" i="14"/>
  <c r="J51" i="14"/>
  <c r="G50" i="14"/>
  <c r="J48" i="14"/>
  <c r="J46" i="14"/>
  <c r="J45" i="14"/>
  <c r="J44" i="14"/>
  <c r="G43" i="14"/>
  <c r="R34" i="14"/>
  <c r="Q34" i="14"/>
  <c r="P34" i="14"/>
  <c r="L34" i="14"/>
  <c r="D34" i="14"/>
  <c r="E34" i="14" s="1"/>
  <c r="F34" i="14" s="1"/>
  <c r="R23" i="14"/>
  <c r="Q23" i="14"/>
  <c r="P23" i="14"/>
  <c r="O23" i="14"/>
  <c r="N23" i="14"/>
  <c r="M23" i="14"/>
  <c r="L23" i="14"/>
  <c r="R22" i="14"/>
  <c r="Q22" i="14"/>
  <c r="P22" i="14"/>
  <c r="O22" i="14"/>
  <c r="N22" i="14"/>
  <c r="M22" i="14"/>
  <c r="L22" i="14"/>
  <c r="R21" i="14"/>
  <c r="Q21" i="14"/>
  <c r="P21" i="14"/>
  <c r="O21" i="14"/>
  <c r="N21" i="14"/>
  <c r="M21" i="14"/>
  <c r="L21" i="14"/>
  <c r="R20" i="14"/>
  <c r="Q20" i="14"/>
  <c r="Q30" i="14" s="1"/>
  <c r="P20" i="14"/>
  <c r="O20" i="14"/>
  <c r="N20" i="14"/>
  <c r="M20" i="14"/>
  <c r="L20" i="14"/>
  <c r="R19" i="14"/>
  <c r="Q19" i="14"/>
  <c r="P19" i="14"/>
  <c r="O19" i="14"/>
  <c r="N19" i="14"/>
  <c r="M19" i="14"/>
  <c r="L19" i="14"/>
  <c r="R18" i="14"/>
  <c r="Q18" i="14"/>
  <c r="P18" i="14"/>
  <c r="O18" i="14"/>
  <c r="O27" i="14" s="1"/>
  <c r="E88" i="14" s="1"/>
  <c r="J88" i="14" s="1"/>
  <c r="M90" i="14" s="1"/>
  <c r="K102" i="14" s="1"/>
  <c r="N18" i="14"/>
  <c r="M18" i="14"/>
  <c r="L18" i="14"/>
  <c r="R17" i="14"/>
  <c r="Q17" i="14"/>
  <c r="P17" i="14"/>
  <c r="O17" i="14"/>
  <c r="N17" i="14"/>
  <c r="M17" i="14"/>
  <c r="L17" i="14"/>
  <c r="L47" i="13"/>
  <c r="K47" i="13"/>
  <c r="J47" i="13"/>
  <c r="I47" i="13"/>
  <c r="L46" i="13"/>
  <c r="K46" i="13"/>
  <c r="J46" i="13"/>
  <c r="I46" i="13"/>
  <c r="L45" i="13"/>
  <c r="K45" i="13"/>
  <c r="J45" i="13"/>
  <c r="I45" i="13"/>
  <c r="L44" i="13"/>
  <c r="K44" i="13"/>
  <c r="J44" i="13"/>
  <c r="I44" i="13"/>
  <c r="R43" i="13"/>
  <c r="Q43" i="13"/>
  <c r="P43" i="13"/>
  <c r="O43" i="13"/>
  <c r="N43" i="13"/>
  <c r="R42" i="13"/>
  <c r="Q42" i="13"/>
  <c r="P42" i="13"/>
  <c r="O42" i="13"/>
  <c r="N42" i="13"/>
  <c r="R41" i="13"/>
  <c r="Q41" i="13"/>
  <c r="P41" i="13"/>
  <c r="O41" i="13"/>
  <c r="N41" i="13"/>
  <c r="R40" i="13"/>
  <c r="Q40" i="13"/>
  <c r="P40" i="13"/>
  <c r="O40" i="13"/>
  <c r="N40" i="13"/>
  <c r="R39" i="13"/>
  <c r="Q39" i="13"/>
  <c r="P39" i="13"/>
  <c r="O39" i="13"/>
  <c r="N39" i="13"/>
  <c r="M39" i="13"/>
  <c r="L39" i="13"/>
  <c r="K39" i="13"/>
  <c r="J39" i="13"/>
  <c r="I39" i="13"/>
  <c r="G24" i="13"/>
  <c r="M28" i="12"/>
  <c r="K28" i="12"/>
  <c r="H28" i="12"/>
  <c r="P26" i="12"/>
  <c r="O26" i="12"/>
  <c r="N26" i="12"/>
  <c r="M26" i="12"/>
  <c r="L26" i="12"/>
  <c r="K26" i="12"/>
  <c r="J26" i="12"/>
  <c r="J28" i="12" s="1"/>
  <c r="I26" i="12"/>
  <c r="H26" i="12"/>
  <c r="G26" i="12"/>
  <c r="P24" i="12"/>
  <c r="P28" i="12" s="1"/>
  <c r="O24" i="12"/>
  <c r="O28" i="12" s="1"/>
  <c r="N24" i="12"/>
  <c r="M24" i="12"/>
  <c r="L24" i="12"/>
  <c r="L28" i="12" s="1"/>
  <c r="K24" i="12"/>
  <c r="J24" i="12"/>
  <c r="I24" i="12"/>
  <c r="I28" i="12" s="1"/>
  <c r="H24" i="12"/>
  <c r="G24" i="12"/>
  <c r="G28" i="12" s="1"/>
  <c r="K20" i="12"/>
  <c r="J20" i="12"/>
  <c r="I20" i="12"/>
  <c r="H20" i="12"/>
  <c r="G20" i="12"/>
  <c r="K16" i="12"/>
  <c r="J16" i="12"/>
  <c r="I16" i="12"/>
  <c r="H16" i="12"/>
  <c r="G16" i="12"/>
  <c r="K6" i="12"/>
  <c r="J6" i="12"/>
  <c r="I6" i="12"/>
  <c r="H6" i="12"/>
  <c r="G6" i="12"/>
  <c r="P12" i="11"/>
  <c r="P47" i="6" s="1"/>
  <c r="O12" i="11"/>
  <c r="N12" i="11"/>
  <c r="M12" i="11"/>
  <c r="M47" i="6" s="1"/>
  <c r="L12" i="11"/>
  <c r="K8" i="11"/>
  <c r="J8" i="11"/>
  <c r="I8" i="11"/>
  <c r="H8" i="11"/>
  <c r="G8" i="11"/>
  <c r="K6" i="11"/>
  <c r="J6" i="11"/>
  <c r="I6" i="11"/>
  <c r="H6" i="11"/>
  <c r="G6" i="11"/>
  <c r="P5" i="10"/>
  <c r="O5" i="10"/>
  <c r="N5" i="10"/>
  <c r="M5" i="10"/>
  <c r="L5" i="10"/>
  <c r="L16" i="9"/>
  <c r="P15" i="9"/>
  <c r="O15" i="9"/>
  <c r="N15" i="9"/>
  <c r="M15" i="9"/>
  <c r="L15" i="9"/>
  <c r="L14" i="9"/>
  <c r="K14" i="9"/>
  <c r="J14" i="9"/>
  <c r="I14" i="9"/>
  <c r="H14" i="9"/>
  <c r="G14" i="9"/>
  <c r="P10" i="9"/>
  <c r="O10" i="9"/>
  <c r="N10" i="9"/>
  <c r="M10" i="9"/>
  <c r="L10" i="9"/>
  <c r="L11" i="9" s="1"/>
  <c r="L8" i="9"/>
  <c r="L5" i="9"/>
  <c r="K5" i="9"/>
  <c r="J5" i="9"/>
  <c r="I5" i="9"/>
  <c r="H5" i="9"/>
  <c r="G11" i="8"/>
  <c r="G8" i="8"/>
  <c r="G9" i="8" s="1"/>
  <c r="H5" i="8"/>
  <c r="K33" i="7"/>
  <c r="K31" i="13" s="1"/>
  <c r="J33" i="7"/>
  <c r="J31" i="13" s="1"/>
  <c r="I33" i="7"/>
  <c r="I31" i="13" s="1"/>
  <c r="H33" i="7"/>
  <c r="H31" i="13" s="1"/>
  <c r="G33" i="7"/>
  <c r="G31" i="13" s="1"/>
  <c r="M32" i="7"/>
  <c r="N32" i="7" s="1"/>
  <c r="O32" i="7" s="1"/>
  <c r="P32" i="7" s="1"/>
  <c r="L32" i="7"/>
  <c r="O30" i="7"/>
  <c r="P30" i="7" s="1"/>
  <c r="M30" i="7"/>
  <c r="N30" i="7" s="1"/>
  <c r="L30" i="7"/>
  <c r="I26" i="7"/>
  <c r="I35" i="7" s="1"/>
  <c r="K21" i="7"/>
  <c r="K26" i="7" s="1"/>
  <c r="J21" i="7"/>
  <c r="J26" i="7" s="1"/>
  <c r="J35" i="7" s="1"/>
  <c r="I21" i="7"/>
  <c r="H21" i="7"/>
  <c r="H26" i="7" s="1"/>
  <c r="H35" i="7" s="1"/>
  <c r="G21" i="7"/>
  <c r="G26" i="7" s="1"/>
  <c r="G35" i="7" s="1"/>
  <c r="L20" i="7"/>
  <c r="G11" i="7"/>
  <c r="K9" i="7"/>
  <c r="J9" i="7"/>
  <c r="I9" i="7"/>
  <c r="H9" i="7"/>
  <c r="G9" i="7"/>
  <c r="G23" i="13" s="1"/>
  <c r="O47" i="6"/>
  <c r="N47" i="6"/>
  <c r="L47" i="6"/>
  <c r="K47" i="6"/>
  <c r="J47" i="6"/>
  <c r="I47" i="6"/>
  <c r="H47" i="6"/>
  <c r="G47" i="6"/>
  <c r="K40" i="6"/>
  <c r="J40" i="6"/>
  <c r="I40" i="6"/>
  <c r="H40" i="6"/>
  <c r="G40" i="6"/>
  <c r="L34" i="6"/>
  <c r="K34" i="6"/>
  <c r="J34" i="6"/>
  <c r="I34" i="6"/>
  <c r="H34" i="6"/>
  <c r="G34" i="6"/>
  <c r="L33" i="6"/>
  <c r="K33" i="6"/>
  <c r="J33" i="6"/>
  <c r="I33" i="6"/>
  <c r="H33" i="6"/>
  <c r="G33" i="6"/>
  <c r="K28" i="6"/>
  <c r="J28" i="6"/>
  <c r="I28" i="6"/>
  <c r="H28" i="6"/>
  <c r="G28" i="6"/>
  <c r="H23" i="6"/>
  <c r="P22" i="6"/>
  <c r="O22" i="6"/>
  <c r="N22" i="6"/>
  <c r="M22" i="6"/>
  <c r="L22" i="6"/>
  <c r="K22" i="6"/>
  <c r="J22" i="6"/>
  <c r="I22" i="6"/>
  <c r="H22" i="6"/>
  <c r="G22" i="6"/>
  <c r="K21" i="6"/>
  <c r="J21" i="6"/>
  <c r="I21" i="6"/>
  <c r="H21" i="6"/>
  <c r="G21" i="6"/>
  <c r="K20" i="6"/>
  <c r="J20" i="6"/>
  <c r="I20" i="6"/>
  <c r="I23" i="6" s="1"/>
  <c r="H20" i="6"/>
  <c r="G20" i="6"/>
  <c r="G23" i="6" s="1"/>
  <c r="I14" i="6"/>
  <c r="I30" i="3" s="1"/>
  <c r="H14" i="6"/>
  <c r="K13" i="6"/>
  <c r="K14" i="6" s="1"/>
  <c r="J13" i="6"/>
  <c r="I13" i="6"/>
  <c r="H13" i="6"/>
  <c r="G13" i="6"/>
  <c r="K12" i="6"/>
  <c r="J12" i="6"/>
  <c r="I12" i="6"/>
  <c r="H12" i="6"/>
  <c r="G12" i="6"/>
  <c r="K11" i="6"/>
  <c r="J11" i="6"/>
  <c r="J14" i="6" s="1"/>
  <c r="I11" i="6"/>
  <c r="H11" i="6"/>
  <c r="G11" i="6"/>
  <c r="G14" i="6" s="1"/>
  <c r="G31" i="3" s="1"/>
  <c r="K7" i="6"/>
  <c r="J7" i="6"/>
  <c r="I7" i="6"/>
  <c r="H7" i="6"/>
  <c r="G7" i="6"/>
  <c r="K6" i="6"/>
  <c r="J6" i="6"/>
  <c r="I6" i="6"/>
  <c r="H6" i="6"/>
  <c r="G6" i="6"/>
  <c r="G5" i="6"/>
  <c r="K29" i="5"/>
  <c r="J29" i="5"/>
  <c r="I29" i="5"/>
  <c r="H29" i="5"/>
  <c r="G29" i="5"/>
  <c r="G23" i="5"/>
  <c r="K20" i="5"/>
  <c r="J20" i="5"/>
  <c r="I20" i="5"/>
  <c r="H20" i="5"/>
  <c r="G20" i="5"/>
  <c r="K16" i="5"/>
  <c r="H16" i="5"/>
  <c r="H22" i="3" s="1"/>
  <c r="G16" i="5"/>
  <c r="G22" i="3" s="1"/>
  <c r="K15" i="5"/>
  <c r="J15" i="5"/>
  <c r="J16" i="5" s="1"/>
  <c r="I15" i="5"/>
  <c r="I16" i="5" s="1"/>
  <c r="I22" i="3" s="1"/>
  <c r="H15" i="5"/>
  <c r="G15" i="5"/>
  <c r="I11" i="5"/>
  <c r="I18" i="3" s="1"/>
  <c r="H11" i="5"/>
  <c r="H18" i="3" s="1"/>
  <c r="K10" i="5"/>
  <c r="K11" i="5" s="1"/>
  <c r="K18" i="3" s="1"/>
  <c r="J10" i="5"/>
  <c r="J11" i="5" s="1"/>
  <c r="J18" i="3" s="1"/>
  <c r="I10" i="5"/>
  <c r="H10" i="5"/>
  <c r="G10" i="5"/>
  <c r="G11" i="5" s="1"/>
  <c r="G18" i="3" s="1"/>
  <c r="K5" i="5"/>
  <c r="K6" i="5" s="1"/>
  <c r="K14" i="3" s="1"/>
  <c r="G5" i="5"/>
  <c r="G6" i="5" s="1"/>
  <c r="G14" i="3" s="1"/>
  <c r="K23" i="4"/>
  <c r="J23" i="4"/>
  <c r="I23" i="4"/>
  <c r="H23" i="4"/>
  <c r="G23" i="4"/>
  <c r="G18" i="4"/>
  <c r="J9" i="4"/>
  <c r="G9" i="4"/>
  <c r="K7" i="4"/>
  <c r="K9" i="4" s="1"/>
  <c r="J7" i="4"/>
  <c r="I7" i="4"/>
  <c r="I9" i="4" s="1"/>
  <c r="H7" i="4"/>
  <c r="H9" i="4" s="1"/>
  <c r="G7" i="4"/>
  <c r="P67" i="3"/>
  <c r="O67" i="3"/>
  <c r="N67" i="3"/>
  <c r="M67" i="3"/>
  <c r="L67" i="3"/>
  <c r="G52" i="3"/>
  <c r="K46" i="3"/>
  <c r="K15" i="9" s="1"/>
  <c r="J46" i="3"/>
  <c r="J15" i="9" s="1"/>
  <c r="I46" i="3"/>
  <c r="I15" i="9" s="1"/>
  <c r="H46" i="3"/>
  <c r="H15" i="9" s="1"/>
  <c r="G46" i="3"/>
  <c r="G15" i="9" s="1"/>
  <c r="K45" i="3"/>
  <c r="K10" i="9" s="1"/>
  <c r="J45" i="3"/>
  <c r="J10" i="9" s="1"/>
  <c r="I45" i="3"/>
  <c r="I10" i="9" s="1"/>
  <c r="H45" i="3"/>
  <c r="H10" i="9" s="1"/>
  <c r="G45" i="3"/>
  <c r="G10" i="9" s="1"/>
  <c r="G42" i="3"/>
  <c r="P41" i="3"/>
  <c r="O41" i="3"/>
  <c r="N41" i="3"/>
  <c r="M41" i="3"/>
  <c r="L41" i="3"/>
  <c r="G41" i="3"/>
  <c r="G38" i="3"/>
  <c r="G37" i="3"/>
  <c r="G36" i="3"/>
  <c r="G35" i="3"/>
  <c r="G34" i="3"/>
  <c r="G33" i="3"/>
  <c r="G32" i="3"/>
  <c r="K31" i="3"/>
  <c r="J31" i="3"/>
  <c r="G30" i="3"/>
  <c r="P26" i="3"/>
  <c r="P25" i="5" s="1"/>
  <c r="O26" i="3"/>
  <c r="O25" i="5" s="1"/>
  <c r="N26" i="3"/>
  <c r="N25" i="5" s="1"/>
  <c r="M26" i="3"/>
  <c r="M25" i="5" s="1"/>
  <c r="L26" i="3"/>
  <c r="L25" i="5" s="1"/>
  <c r="G26" i="3"/>
  <c r="G25" i="5" s="1"/>
  <c r="P25" i="3"/>
  <c r="P23" i="5" s="1"/>
  <c r="O25" i="3"/>
  <c r="O23" i="5" s="1"/>
  <c r="N25" i="3"/>
  <c r="N23" i="5" s="1"/>
  <c r="M25" i="3"/>
  <c r="M23" i="5" s="1"/>
  <c r="L25" i="3"/>
  <c r="L23" i="5" s="1"/>
  <c r="G25" i="3"/>
  <c r="P22" i="3"/>
  <c r="P16" i="5" s="1"/>
  <c r="O22" i="3"/>
  <c r="O16" i="5" s="1"/>
  <c r="N22" i="3"/>
  <c r="N16" i="5" s="1"/>
  <c r="M22" i="3"/>
  <c r="M16" i="5" s="1"/>
  <c r="L22" i="3"/>
  <c r="L16" i="5" s="1"/>
  <c r="K22" i="3"/>
  <c r="J22" i="3"/>
  <c r="P21" i="3"/>
  <c r="O21" i="3"/>
  <c r="N21" i="3"/>
  <c r="M21" i="3"/>
  <c r="L21" i="3"/>
  <c r="L15" i="4" s="1"/>
  <c r="K21" i="3"/>
  <c r="J21" i="3"/>
  <c r="I21" i="3"/>
  <c r="H21" i="3"/>
  <c r="P18" i="3"/>
  <c r="P11" i="5" s="1"/>
  <c r="O18" i="3"/>
  <c r="O11" i="5" s="1"/>
  <c r="N18" i="3"/>
  <c r="N11" i="5" s="1"/>
  <c r="M18" i="3"/>
  <c r="M11" i="5" s="1"/>
  <c r="L18" i="3"/>
  <c r="L11" i="5" s="1"/>
  <c r="P17" i="3"/>
  <c r="O17" i="3"/>
  <c r="N17" i="3"/>
  <c r="M17" i="3"/>
  <c r="L17" i="3"/>
  <c r="L12" i="4" s="1"/>
  <c r="K17" i="3"/>
  <c r="J17" i="3"/>
  <c r="I17" i="3"/>
  <c r="H17" i="3"/>
  <c r="P14" i="3"/>
  <c r="P6" i="5" s="1"/>
  <c r="O14" i="3"/>
  <c r="O6" i="5" s="1"/>
  <c r="N14" i="3"/>
  <c r="N6" i="5" s="1"/>
  <c r="M14" i="3"/>
  <c r="M6" i="5" s="1"/>
  <c r="L14" i="3"/>
  <c r="L6" i="5" s="1"/>
  <c r="P12" i="3"/>
  <c r="O12" i="3"/>
  <c r="N12" i="3"/>
  <c r="M12" i="3"/>
  <c r="L12" i="3"/>
  <c r="L8" i="4" s="1"/>
  <c r="K12" i="3"/>
  <c r="J12" i="3"/>
  <c r="I12" i="3"/>
  <c r="H12" i="3"/>
  <c r="K11" i="3"/>
  <c r="J11" i="3"/>
  <c r="I11" i="3"/>
  <c r="H11" i="3"/>
  <c r="G11" i="3"/>
  <c r="P10" i="3"/>
  <c r="O10" i="3"/>
  <c r="N10" i="3"/>
  <c r="M10" i="3"/>
  <c r="L10" i="3"/>
  <c r="L6" i="4" s="1"/>
  <c r="K10" i="3"/>
  <c r="J10" i="3"/>
  <c r="I10" i="3"/>
  <c r="H10" i="3"/>
  <c r="K9" i="3"/>
  <c r="J9" i="3"/>
  <c r="I9" i="3"/>
  <c r="H9" i="3"/>
  <c r="G9" i="3"/>
  <c r="P7" i="3"/>
  <c r="O7" i="3"/>
  <c r="N7" i="3"/>
  <c r="M7" i="3"/>
  <c r="K7" i="3"/>
  <c r="J7" i="3"/>
  <c r="I7" i="3"/>
  <c r="H7" i="3"/>
  <c r="K6" i="3"/>
  <c r="J6" i="3"/>
  <c r="I6" i="3"/>
  <c r="H6" i="3"/>
  <c r="G6" i="3"/>
  <c r="N2" i="3"/>
  <c r="M2" i="3"/>
  <c r="Q11" i="2"/>
  <c r="Q8" i="2"/>
  <c r="M1" i="2"/>
  <c r="E14" i="19"/>
  <c r="M12" i="4" l="1"/>
  <c r="M6" i="6" s="1"/>
  <c r="M8" i="4"/>
  <c r="L11" i="3"/>
  <c r="I5" i="5"/>
  <c r="I6" i="5" s="1"/>
  <c r="I14" i="3" s="1"/>
  <c r="I18" i="4"/>
  <c r="I5" i="6"/>
  <c r="I8" i="6" s="1"/>
  <c r="H31" i="3"/>
  <c r="M5" i="4"/>
  <c r="L7" i="4"/>
  <c r="L9" i="4" s="1"/>
  <c r="L6" i="3"/>
  <c r="L9" i="3"/>
  <c r="M6" i="4"/>
  <c r="H30" i="3"/>
  <c r="H5" i="5"/>
  <c r="H6" i="5" s="1"/>
  <c r="H14" i="3" s="1"/>
  <c r="H18" i="4"/>
  <c r="H5" i="6"/>
  <c r="H8" i="6" s="1"/>
  <c r="J5" i="5"/>
  <c r="J6" i="5" s="1"/>
  <c r="J14" i="3" s="1"/>
  <c r="J18" i="4"/>
  <c r="J5" i="6"/>
  <c r="J8" i="6" s="1"/>
  <c r="J18" i="13"/>
  <c r="J30" i="3"/>
  <c r="L23" i="7"/>
  <c r="M20" i="7"/>
  <c r="N20" i="7" s="1"/>
  <c r="O20" i="7" s="1"/>
  <c r="P20" i="7" s="1"/>
  <c r="K18" i="4"/>
  <c r="K5" i="6"/>
  <c r="K8" i="6" s="1"/>
  <c r="L25" i="4"/>
  <c r="L10" i="5"/>
  <c r="L12" i="5" s="1"/>
  <c r="L12" i="6" s="1"/>
  <c r="L24" i="4"/>
  <c r="H8" i="8"/>
  <c r="H9" i="8" s="1"/>
  <c r="H11" i="8"/>
  <c r="H42" i="3" s="1"/>
  <c r="N28" i="14"/>
  <c r="N29" i="14"/>
  <c r="N30" i="14"/>
  <c r="N26" i="14"/>
  <c r="N27" i="14"/>
  <c r="P29" i="14"/>
  <c r="P28" i="14"/>
  <c r="M15" i="4"/>
  <c r="L15" i="5"/>
  <c r="L17" i="5" s="1"/>
  <c r="L13" i="6" s="1"/>
  <c r="L7" i="6"/>
  <c r="N8" i="4"/>
  <c r="M11" i="3"/>
  <c r="L6" i="6"/>
  <c r="K30" i="3"/>
  <c r="O28" i="14"/>
  <c r="E92" i="14" s="1"/>
  <c r="J92" i="14" s="1"/>
  <c r="M94" i="14" s="1"/>
  <c r="K103" i="14" s="1"/>
  <c r="Q29" i="14"/>
  <c r="H19" i="13"/>
  <c r="H20" i="13"/>
  <c r="I24" i="13"/>
  <c r="J19" i="13"/>
  <c r="J23" i="13"/>
  <c r="J24" i="13"/>
  <c r="J23" i="6"/>
  <c r="R26" i="14"/>
  <c r="I23" i="13"/>
  <c r="L72" i="17"/>
  <c r="M68" i="17"/>
  <c r="I31" i="3"/>
  <c r="G8" i="6"/>
  <c r="K35" i="7"/>
  <c r="L29" i="14"/>
  <c r="E57" i="14" s="1"/>
  <c r="J57" i="14" s="1"/>
  <c r="J61" i="14" s="1"/>
  <c r="M61" i="14" s="1"/>
  <c r="E104" i="14" s="1"/>
  <c r="L30" i="14"/>
  <c r="L26" i="14"/>
  <c r="L27" i="14"/>
  <c r="E43" i="14" s="1"/>
  <c r="J43" i="14" s="1"/>
  <c r="J47" i="14" s="1"/>
  <c r="M47" i="14" s="1"/>
  <c r="E102" i="14" s="1"/>
  <c r="L28" i="14"/>
  <c r="E50" i="14" s="1"/>
  <c r="J50" i="14" s="1"/>
  <c r="J54" i="14" s="1"/>
  <c r="M54" i="14" s="1"/>
  <c r="E103" i="14" s="1"/>
  <c r="H24" i="13"/>
  <c r="K24" i="13"/>
  <c r="K23" i="13"/>
  <c r="L125" i="17"/>
  <c r="L87" i="17"/>
  <c r="L49" i="17"/>
  <c r="P26" i="14"/>
  <c r="N30" i="17"/>
  <c r="M34" i="17"/>
  <c r="M63" i="17"/>
  <c r="L65" i="17"/>
  <c r="L67" i="17" s="1"/>
  <c r="N106" i="17"/>
  <c r="M110" i="17"/>
  <c r="Q26" i="14"/>
  <c r="M73" i="17"/>
  <c r="N69" i="17"/>
  <c r="O103" i="17"/>
  <c r="O105" i="17" s="1"/>
  <c r="P101" i="17"/>
  <c r="P103" i="17" s="1"/>
  <c r="P105" i="17" s="1"/>
  <c r="G20" i="13"/>
  <c r="K23" i="6"/>
  <c r="G14" i="7"/>
  <c r="G36" i="7" s="1"/>
  <c r="G37" i="7" s="1"/>
  <c r="M5" i="9"/>
  <c r="M8" i="9" s="1"/>
  <c r="N28" i="12"/>
  <c r="H23" i="13"/>
  <c r="F8" i="18"/>
  <c r="F12" i="18" s="1"/>
  <c r="R27" i="14"/>
  <c r="R30" i="14"/>
  <c r="F119" i="16"/>
  <c r="F120" i="16" s="1"/>
  <c r="F33" i="18"/>
  <c r="N64" i="16"/>
  <c r="N73" i="16" s="1"/>
  <c r="M64" i="16"/>
  <c r="M73" i="16" s="1"/>
  <c r="L64" i="16"/>
  <c r="L73" i="16" s="1"/>
  <c r="P64" i="16"/>
  <c r="P73" i="16" s="1"/>
  <c r="N34" i="14"/>
  <c r="M34" i="14"/>
  <c r="M25" i="17"/>
  <c r="L27" i="17"/>
  <c r="L29" i="17" s="1"/>
  <c r="N105" i="17"/>
  <c r="M30" i="14"/>
  <c r="M27" i="14"/>
  <c r="M28" i="14"/>
  <c r="M26" i="14"/>
  <c r="M29" i="14"/>
  <c r="O34" i="14"/>
  <c r="O26" i="14"/>
  <c r="O29" i="14"/>
  <c r="E96" i="14" s="1"/>
  <c r="J96" i="14" s="1"/>
  <c r="M98" i="14" s="1"/>
  <c r="K104" i="14" s="1"/>
  <c r="O30" i="14"/>
  <c r="O64" i="16"/>
  <c r="O73" i="16" s="1"/>
  <c r="M35" i="17"/>
  <c r="N31" i="17"/>
  <c r="L108" i="17"/>
  <c r="L109" i="17"/>
  <c r="L112" i="17" s="1"/>
  <c r="G87" i="16"/>
  <c r="P30" i="14"/>
  <c r="I87" i="16"/>
  <c r="P27" i="14"/>
  <c r="Q28" i="14"/>
  <c r="R29" i="14"/>
  <c r="M105" i="17"/>
  <c r="Q27" i="14"/>
  <c r="R28" i="14"/>
  <c r="F14" i="16"/>
  <c r="F15" i="16" s="1"/>
  <c r="M107" i="17"/>
  <c r="M25" i="4" l="1"/>
  <c r="N12" i="4"/>
  <c r="N25" i="4" s="1"/>
  <c r="M24" i="4"/>
  <c r="M10" i="5"/>
  <c r="M12" i="5" s="1"/>
  <c r="M12" i="6" s="1"/>
  <c r="L70" i="17"/>
  <c r="L71" i="17"/>
  <c r="L74" i="17" s="1"/>
  <c r="G121" i="16"/>
  <c r="F17" i="16"/>
  <c r="M65" i="17"/>
  <c r="M67" i="17" s="1"/>
  <c r="N63" i="17"/>
  <c r="F24" i="18"/>
  <c r="K11" i="13"/>
  <c r="K29" i="3"/>
  <c r="K16" i="6"/>
  <c r="M9" i="3"/>
  <c r="N6" i="4"/>
  <c r="D93" i="16"/>
  <c r="H51" i="2"/>
  <c r="K87" i="16"/>
  <c r="B11" i="2"/>
  <c r="L46" i="2"/>
  <c r="N109" i="17"/>
  <c r="N108" i="17"/>
  <c r="N73" i="17"/>
  <c r="O69" i="17"/>
  <c r="K108" i="17"/>
  <c r="K70" i="17"/>
  <c r="K32" i="17"/>
  <c r="K19" i="4"/>
  <c r="K52" i="3"/>
  <c r="K37" i="3"/>
  <c r="K32" i="3"/>
  <c r="K35" i="3"/>
  <c r="K26" i="3"/>
  <c r="K25" i="5" s="1"/>
  <c r="K38" i="3"/>
  <c r="K33" i="3"/>
  <c r="K25" i="3"/>
  <c r="K23" i="5" s="1"/>
  <c r="K36" i="3"/>
  <c r="K41" i="3"/>
  <c r="K34" i="3"/>
  <c r="J11" i="13"/>
  <c r="J29" i="3"/>
  <c r="J20" i="13"/>
  <c r="J16" i="6"/>
  <c r="I41" i="3"/>
  <c r="I34" i="3"/>
  <c r="I19" i="4"/>
  <c r="I52" i="3"/>
  <c r="I37" i="3"/>
  <c r="I32" i="3"/>
  <c r="I35" i="3"/>
  <c r="I26" i="3"/>
  <c r="I25" i="5" s="1"/>
  <c r="I38" i="3"/>
  <c r="I36" i="3"/>
  <c r="I25" i="3"/>
  <c r="I23" i="5" s="1"/>
  <c r="I33" i="3"/>
  <c r="O8" i="4"/>
  <c r="N11" i="3"/>
  <c r="O109" i="17"/>
  <c r="I11" i="13"/>
  <c r="I29" i="3"/>
  <c r="I16" i="6"/>
  <c r="F16" i="16"/>
  <c r="I121" i="16" s="1"/>
  <c r="L32" i="17"/>
  <c r="L33" i="17"/>
  <c r="L36" i="17" s="1"/>
  <c r="M11" i="9"/>
  <c r="M34" i="6" s="1"/>
  <c r="N5" i="9"/>
  <c r="N8" i="9" s="1"/>
  <c r="M23" i="7"/>
  <c r="O30" i="17"/>
  <c r="N34" i="17"/>
  <c r="I20" i="13"/>
  <c r="I18" i="13"/>
  <c r="K20" i="13"/>
  <c r="N15" i="4"/>
  <c r="M15" i="5"/>
  <c r="M17" i="5" s="1"/>
  <c r="M13" i="6" s="1"/>
  <c r="M7" i="6"/>
  <c r="J34" i="3"/>
  <c r="J19" i="4"/>
  <c r="J52" i="3"/>
  <c r="J37" i="3"/>
  <c r="J32" i="3"/>
  <c r="J35" i="3"/>
  <c r="J26" i="3"/>
  <c r="J25" i="5" s="1"/>
  <c r="J38" i="3"/>
  <c r="J33" i="3"/>
  <c r="J25" i="3"/>
  <c r="J23" i="5" s="1"/>
  <c r="J36" i="3"/>
  <c r="J41" i="3"/>
  <c r="M108" i="17"/>
  <c r="M109" i="17"/>
  <c r="N25" i="17"/>
  <c r="M27" i="17"/>
  <c r="M29" i="17" s="1"/>
  <c r="L18" i="4"/>
  <c r="L5" i="6"/>
  <c r="L8" i="6" s="1"/>
  <c r="L5" i="5"/>
  <c r="L7" i="5" s="1"/>
  <c r="I101" i="16"/>
  <c r="E79" i="14"/>
  <c r="J79" i="14" s="1"/>
  <c r="J83" i="14" s="1"/>
  <c r="M83" i="14" s="1"/>
  <c r="H104" i="14" s="1"/>
  <c r="M104" i="14" s="1"/>
  <c r="I85" i="16" s="1"/>
  <c r="M103" i="14"/>
  <c r="G85" i="16" s="1"/>
  <c r="G29" i="3"/>
  <c r="G16" i="6"/>
  <c r="K19" i="13"/>
  <c r="K18" i="13"/>
  <c r="H11" i="13"/>
  <c r="H29" i="3"/>
  <c r="H16" i="6"/>
  <c r="N5" i="4"/>
  <c r="M7" i="4"/>
  <c r="M9" i="4" s="1"/>
  <c r="M6" i="3"/>
  <c r="N10" i="5"/>
  <c r="N12" i="5" s="1"/>
  <c r="N12" i="6" s="1"/>
  <c r="N24" i="4"/>
  <c r="O12" i="4"/>
  <c r="N6" i="6"/>
  <c r="N35" i="17"/>
  <c r="O31" i="17"/>
  <c r="M102" i="14"/>
  <c r="E85" i="16" s="1"/>
  <c r="G19" i="13"/>
  <c r="G18" i="13"/>
  <c r="H36" i="3"/>
  <c r="H41" i="3"/>
  <c r="H34" i="3"/>
  <c r="H19" i="4"/>
  <c r="H52" i="3"/>
  <c r="H37" i="3"/>
  <c r="H32" i="3"/>
  <c r="H35" i="3"/>
  <c r="H26" i="3"/>
  <c r="H25" i="5" s="1"/>
  <c r="H33" i="3"/>
  <c r="H25" i="3"/>
  <c r="H23" i="5" s="1"/>
  <c r="H38" i="3"/>
  <c r="E65" i="14"/>
  <c r="J65" i="14" s="1"/>
  <c r="J69" i="14" s="1"/>
  <c r="M69" i="14" s="1"/>
  <c r="H102" i="14" s="1"/>
  <c r="E101" i="16"/>
  <c r="P109" i="17"/>
  <c r="L115" i="17"/>
  <c r="I5" i="8"/>
  <c r="H11" i="7"/>
  <c r="H14" i="7" s="1"/>
  <c r="H36" i="7" s="1"/>
  <c r="H37" i="7" s="1"/>
  <c r="L113" i="17"/>
  <c r="L114" i="17"/>
  <c r="L121" i="17"/>
  <c r="L122" i="17" s="1"/>
  <c r="L118" i="17"/>
  <c r="G101" i="16"/>
  <c r="E72" i="14"/>
  <c r="J72" i="14" s="1"/>
  <c r="J76" i="14" s="1"/>
  <c r="M76" i="14" s="1"/>
  <c r="H103" i="14" s="1"/>
  <c r="I19" i="13"/>
  <c r="O106" i="17"/>
  <c r="N110" i="17"/>
  <c r="N68" i="17"/>
  <c r="M72" i="17"/>
  <c r="H18" i="13"/>
  <c r="M111" i="17"/>
  <c r="N107" i="17"/>
  <c r="F92" i="16" l="1"/>
  <c r="I50" i="2"/>
  <c r="D92" i="16"/>
  <c r="J50" i="2"/>
  <c r="G11" i="2"/>
  <c r="H50" i="2"/>
  <c r="L123" i="17"/>
  <c r="L126" i="17"/>
  <c r="K17" i="6"/>
  <c r="K25" i="6"/>
  <c r="E121" i="16"/>
  <c r="O6" i="4"/>
  <c r="N9" i="3"/>
  <c r="M114" i="17"/>
  <c r="M113" i="17"/>
  <c r="M118" i="17"/>
  <c r="M121" i="17"/>
  <c r="M122" i="17" s="1"/>
  <c r="O10" i="5"/>
  <c r="O12" i="5" s="1"/>
  <c r="O12" i="6" s="1"/>
  <c r="O24" i="4"/>
  <c r="P12" i="4"/>
  <c r="O6" i="6"/>
  <c r="O25" i="4"/>
  <c r="J17" i="6"/>
  <c r="L40" i="13" s="1"/>
  <c r="J25" i="6"/>
  <c r="N7" i="4"/>
  <c r="N9" i="4" s="1"/>
  <c r="N6" i="3"/>
  <c r="O5" i="4"/>
  <c r="O5" i="9"/>
  <c r="O8" i="9" s="1"/>
  <c r="N23" i="7"/>
  <c r="O11" i="9"/>
  <c r="O34" i="6" s="1"/>
  <c r="N114" i="17"/>
  <c r="N118" i="17"/>
  <c r="N113" i="17"/>
  <c r="E11" i="19"/>
  <c r="R50" i="2" s="1"/>
  <c r="F32" i="18"/>
  <c r="K68" i="16"/>
  <c r="K77" i="16" s="1"/>
  <c r="K69" i="16"/>
  <c r="K78" i="16" s="1"/>
  <c r="K65" i="16"/>
  <c r="K74" i="16" s="1"/>
  <c r="N41" i="16"/>
  <c r="K66" i="16"/>
  <c r="K75" i="16" s="1"/>
  <c r="M41" i="16"/>
  <c r="F35" i="16"/>
  <c r="K67" i="16"/>
  <c r="K76" i="16" s="1"/>
  <c r="P41" i="16"/>
  <c r="L41" i="16"/>
  <c r="O41" i="16"/>
  <c r="Q7" i="2"/>
  <c r="O68" i="17"/>
  <c r="N72" i="17"/>
  <c r="M112" i="17"/>
  <c r="M115" i="17" s="1"/>
  <c r="K85" i="16"/>
  <c r="C92" i="16"/>
  <c r="G50" i="2"/>
  <c r="G12" i="2"/>
  <c r="L6" i="7"/>
  <c r="L11" i="13"/>
  <c r="L37" i="17"/>
  <c r="L39" i="17" s="1"/>
  <c r="L38" i="17"/>
  <c r="L45" i="17"/>
  <c r="L46" i="17" s="1"/>
  <c r="L42" i="17"/>
  <c r="O25" i="17"/>
  <c r="N27" i="17"/>
  <c r="N29" i="17" s="1"/>
  <c r="P106" i="17"/>
  <c r="O110" i="17"/>
  <c r="O35" i="17"/>
  <c r="P31" i="17"/>
  <c r="P35" i="17" s="1"/>
  <c r="G25" i="6"/>
  <c r="G17" i="6"/>
  <c r="I40" i="13" s="1"/>
  <c r="L18" i="7"/>
  <c r="L12" i="7"/>
  <c r="L6" i="11"/>
  <c r="L13" i="7"/>
  <c r="L25" i="7"/>
  <c r="L8" i="7"/>
  <c r="L12" i="12" s="1"/>
  <c r="L19" i="7"/>
  <c r="L24" i="7"/>
  <c r="L6" i="8"/>
  <c r="L24" i="5"/>
  <c r="L26" i="5"/>
  <c r="L21" i="6" s="1"/>
  <c r="L20" i="13" s="1"/>
  <c r="L19" i="4"/>
  <c r="P30" i="17"/>
  <c r="P34" i="17" s="1"/>
  <c r="O34" i="17"/>
  <c r="P8" i="4"/>
  <c r="P11" i="3" s="1"/>
  <c r="O11" i="3"/>
  <c r="P69" i="17"/>
  <c r="P73" i="17" s="1"/>
  <c r="O73" i="17"/>
  <c r="L38" i="18"/>
  <c r="K38" i="18"/>
  <c r="J38" i="18"/>
  <c r="I38" i="18"/>
  <c r="H38" i="18"/>
  <c r="L75" i="17"/>
  <c r="L76" i="17"/>
  <c r="L77" i="17" s="1"/>
  <c r="L83" i="17"/>
  <c r="L84" i="17" s="1"/>
  <c r="L80" i="17"/>
  <c r="M70" i="17"/>
  <c r="M71" i="17"/>
  <c r="M74" i="17" s="1"/>
  <c r="I11" i="8"/>
  <c r="I42" i="3" s="1"/>
  <c r="I8" i="8"/>
  <c r="I9" i="8" s="1"/>
  <c r="H25" i="6"/>
  <c r="H17" i="6"/>
  <c r="J40" i="13" s="1"/>
  <c r="N15" i="5"/>
  <c r="N17" i="5" s="1"/>
  <c r="N13" i="6" s="1"/>
  <c r="N7" i="6"/>
  <c r="O15" i="4"/>
  <c r="N11" i="9"/>
  <c r="N34" i="6" s="1"/>
  <c r="L11" i="6"/>
  <c r="L14" i="6" s="1"/>
  <c r="L20" i="5"/>
  <c r="N111" i="17"/>
  <c r="N112" i="17" s="1"/>
  <c r="O107" i="17"/>
  <c r="O108" i="17" s="1"/>
  <c r="M5" i="6"/>
  <c r="M8" i="6" s="1"/>
  <c r="M5" i="5"/>
  <c r="M7" i="5" s="1"/>
  <c r="M18" i="4"/>
  <c r="M32" i="17"/>
  <c r="M33" i="17"/>
  <c r="M36" i="17" s="1"/>
  <c r="I25" i="6"/>
  <c r="I17" i="6"/>
  <c r="K40" i="13" s="1"/>
  <c r="O63" i="17"/>
  <c r="N65" i="17"/>
  <c r="N67" i="17" s="1"/>
  <c r="L8" i="12" l="1"/>
  <c r="L15" i="12"/>
  <c r="O114" i="17"/>
  <c r="O118" i="17"/>
  <c r="O113" i="17"/>
  <c r="N115" i="17"/>
  <c r="N121" i="17"/>
  <c r="N122" i="17" s="1"/>
  <c r="L85" i="17"/>
  <c r="L88" i="17"/>
  <c r="J5" i="8"/>
  <c r="I11" i="7"/>
  <c r="I14" i="7" s="1"/>
  <c r="L50" i="17"/>
  <c r="L47" i="17"/>
  <c r="L7" i="12"/>
  <c r="L29" i="7"/>
  <c r="P110" i="17"/>
  <c r="L127" i="17"/>
  <c r="L89" i="17"/>
  <c r="L51" i="17"/>
  <c r="J33" i="13"/>
  <c r="J26" i="6"/>
  <c r="L42" i="13" s="1"/>
  <c r="J37" i="6"/>
  <c r="J29" i="6"/>
  <c r="J13" i="13"/>
  <c r="J6" i="13"/>
  <c r="M44" i="13"/>
  <c r="M40" i="13"/>
  <c r="M123" i="17"/>
  <c r="P127" i="17"/>
  <c r="P89" i="17"/>
  <c r="G103" i="16"/>
  <c r="E103" i="16"/>
  <c r="P51" i="17"/>
  <c r="I103" i="16"/>
  <c r="M6" i="7"/>
  <c r="M11" i="13"/>
  <c r="N127" i="17"/>
  <c r="N51" i="17"/>
  <c r="N89" i="17"/>
  <c r="L43" i="18"/>
  <c r="L44" i="18"/>
  <c r="L42" i="18"/>
  <c r="K6" i="13"/>
  <c r="K37" i="6"/>
  <c r="K29" i="6"/>
  <c r="K33" i="13"/>
  <c r="K26" i="6"/>
  <c r="K13" i="13"/>
  <c r="I42" i="18"/>
  <c r="I43" i="18"/>
  <c r="I44" i="18"/>
  <c r="I33" i="13"/>
  <c r="I13" i="13"/>
  <c r="I37" i="6"/>
  <c r="I29" i="6"/>
  <c r="I26" i="6"/>
  <c r="K42" i="13" s="1"/>
  <c r="I6" i="13"/>
  <c r="H6" i="13"/>
  <c r="H33" i="13"/>
  <c r="H13" i="13"/>
  <c r="H26" i="6"/>
  <c r="J42" i="13" s="1"/>
  <c r="H37" i="6"/>
  <c r="H29" i="6"/>
  <c r="K43" i="18"/>
  <c r="K42" i="18"/>
  <c r="K44" i="18"/>
  <c r="L20" i="6"/>
  <c r="L29" i="5"/>
  <c r="M39" i="17"/>
  <c r="L7" i="7"/>
  <c r="L11" i="12" s="1"/>
  <c r="L18" i="13"/>
  <c r="L17" i="7"/>
  <c r="L20" i="12"/>
  <c r="L21" i="12" s="1"/>
  <c r="L26" i="16"/>
  <c r="N33" i="17"/>
  <c r="N36" i="17" s="1"/>
  <c r="N32" i="17"/>
  <c r="L16" i="6"/>
  <c r="L46" i="18"/>
  <c r="K46" i="18"/>
  <c r="J46" i="18"/>
  <c r="I46" i="18"/>
  <c r="H46" i="18"/>
  <c r="P5" i="9"/>
  <c r="P8" i="9" s="1"/>
  <c r="O23" i="7"/>
  <c r="M76" i="17"/>
  <c r="M75" i="17"/>
  <c r="M80" i="17"/>
  <c r="M83" i="17"/>
  <c r="M84" i="17" s="1"/>
  <c r="O65" i="17"/>
  <c r="O67" i="17" s="1"/>
  <c r="P63" i="17"/>
  <c r="P65" i="17" s="1"/>
  <c r="P67" i="17" s="1"/>
  <c r="O127" i="17"/>
  <c r="O51" i="17"/>
  <c r="O89" i="17"/>
  <c r="N5" i="5"/>
  <c r="N7" i="5" s="1"/>
  <c r="N5" i="6"/>
  <c r="N8" i="6" s="1"/>
  <c r="N18" i="4"/>
  <c r="M38" i="17"/>
  <c r="M45" i="17"/>
  <c r="M46" i="17" s="1"/>
  <c r="M42" i="17"/>
  <c r="M37" i="17"/>
  <c r="J42" i="18"/>
  <c r="J43" i="18"/>
  <c r="J44" i="18"/>
  <c r="O27" i="17"/>
  <c r="O29" i="17" s="1"/>
  <c r="P25" i="17"/>
  <c r="P27" i="17" s="1"/>
  <c r="P29" i="17" s="1"/>
  <c r="L10" i="12"/>
  <c r="M6" i="11"/>
  <c r="M7" i="12" s="1"/>
  <c r="M18" i="7"/>
  <c r="M12" i="7"/>
  <c r="M6" i="8"/>
  <c r="M24" i="7"/>
  <c r="M8" i="7"/>
  <c r="M12" i="12" s="1"/>
  <c r="M25" i="7"/>
  <c r="M19" i="7"/>
  <c r="M13" i="7"/>
  <c r="M24" i="5"/>
  <c r="M26" i="5"/>
  <c r="M21" i="6" s="1"/>
  <c r="M20" i="13" s="1"/>
  <c r="M19" i="4"/>
  <c r="G33" i="13"/>
  <c r="G26" i="6"/>
  <c r="I42" i="13" s="1"/>
  <c r="G6" i="13"/>
  <c r="G37" i="6"/>
  <c r="G29" i="6"/>
  <c r="M127" i="17"/>
  <c r="M89" i="17"/>
  <c r="M51" i="17"/>
  <c r="P10" i="5"/>
  <c r="P12" i="5" s="1"/>
  <c r="P12" i="6" s="1"/>
  <c r="P24" i="4"/>
  <c r="P6" i="6"/>
  <c r="P25" i="4"/>
  <c r="P6" i="4"/>
  <c r="P9" i="3" s="1"/>
  <c r="O9" i="3"/>
  <c r="N71" i="17"/>
  <c r="N74" i="17" s="1"/>
  <c r="N70" i="17"/>
  <c r="P107" i="17"/>
  <c r="P111" i="17" s="1"/>
  <c r="O111" i="17"/>
  <c r="O112" i="17" s="1"/>
  <c r="M11" i="6"/>
  <c r="M14" i="6" s="1"/>
  <c r="M20" i="5"/>
  <c r="O15" i="5"/>
  <c r="O17" i="5" s="1"/>
  <c r="O13" i="6" s="1"/>
  <c r="O7" i="6"/>
  <c r="P15" i="4"/>
  <c r="M77" i="17"/>
  <c r="H44" i="18"/>
  <c r="H42" i="18"/>
  <c r="H43" i="18"/>
  <c r="P68" i="17"/>
  <c r="P72" i="17" s="1"/>
  <c r="O72" i="17"/>
  <c r="O7" i="4"/>
  <c r="O9" i="4" s="1"/>
  <c r="O6" i="3"/>
  <c r="P5" i="4"/>
  <c r="L27" i="16" l="1"/>
  <c r="O115" i="17"/>
  <c r="O121" i="17"/>
  <c r="O122" i="17" s="1"/>
  <c r="I32" i="13"/>
  <c r="I30" i="6"/>
  <c r="K41" i="13" s="1"/>
  <c r="I12" i="13"/>
  <c r="I5" i="13"/>
  <c r="N76" i="17"/>
  <c r="N77" i="17" s="1"/>
  <c r="N83" i="17"/>
  <c r="N84" i="17" s="1"/>
  <c r="N80" i="17"/>
  <c r="N75" i="17"/>
  <c r="M47" i="17"/>
  <c r="H14" i="13"/>
  <c r="H4" i="10"/>
  <c r="H7" i="13"/>
  <c r="H43" i="6"/>
  <c r="H38" i="6"/>
  <c r="H41" i="6"/>
  <c r="F25" i="18"/>
  <c r="M42" i="13"/>
  <c r="M46" i="13"/>
  <c r="G8" i="2"/>
  <c r="O5" i="5"/>
  <c r="O7" i="5" s="1"/>
  <c r="O18" i="4"/>
  <c r="O5" i="6"/>
  <c r="O8" i="6" s="1"/>
  <c r="P15" i="5"/>
  <c r="P17" i="5" s="1"/>
  <c r="P13" i="6" s="1"/>
  <c r="P7" i="6"/>
  <c r="M26" i="16"/>
  <c r="M20" i="12"/>
  <c r="M21" i="12" s="1"/>
  <c r="O33" i="17"/>
  <c r="O36" i="17" s="1"/>
  <c r="O32" i="17"/>
  <c r="O71" i="17"/>
  <c r="O74" i="17" s="1"/>
  <c r="O70" i="17"/>
  <c r="N38" i="17"/>
  <c r="N45" i="17"/>
  <c r="N46" i="17" s="1"/>
  <c r="N37" i="17"/>
  <c r="N39" i="17" s="1"/>
  <c r="N42" i="17"/>
  <c r="N123" i="17"/>
  <c r="P71" i="17"/>
  <c r="P74" i="17" s="1"/>
  <c r="P70" i="17"/>
  <c r="I4" i="10"/>
  <c r="I7" i="13"/>
  <c r="I14" i="13"/>
  <c r="I38" i="6"/>
  <c r="I43" i="6"/>
  <c r="I41" i="6"/>
  <c r="N12" i="7"/>
  <c r="N6" i="8"/>
  <c r="N24" i="7"/>
  <c r="N8" i="7"/>
  <c r="N12" i="12" s="1"/>
  <c r="N19" i="7"/>
  <c r="N6" i="11"/>
  <c r="N7" i="12" s="1"/>
  <c r="N25" i="7"/>
  <c r="N13" i="7"/>
  <c r="N18" i="7"/>
  <c r="N24" i="5"/>
  <c r="N26" i="5"/>
  <c r="N21" i="6" s="1"/>
  <c r="N20" i="13" s="1"/>
  <c r="N19" i="4"/>
  <c r="P23" i="7"/>
  <c r="E9" i="19" s="1"/>
  <c r="L19" i="13"/>
  <c r="L23" i="6"/>
  <c r="L25" i="6" s="1"/>
  <c r="K32" i="13"/>
  <c r="K12" i="13"/>
  <c r="K5" i="13"/>
  <c r="K30" i="6"/>
  <c r="G32" i="13"/>
  <c r="G5" i="13"/>
  <c r="G30" i="6"/>
  <c r="I41" i="13" s="1"/>
  <c r="M20" i="6"/>
  <c r="M29" i="5"/>
  <c r="N11" i="13"/>
  <c r="N6" i="7"/>
  <c r="K4" i="10"/>
  <c r="K14" i="13"/>
  <c r="K43" i="6"/>
  <c r="K7" i="13"/>
  <c r="K38" i="6"/>
  <c r="K41" i="6"/>
  <c r="I36" i="7"/>
  <c r="I37" i="7" s="1"/>
  <c r="M85" i="17"/>
  <c r="N20" i="5"/>
  <c r="N11" i="6"/>
  <c r="N14" i="6" s="1"/>
  <c r="N16" i="6" s="1"/>
  <c r="P108" i="17"/>
  <c r="J8" i="8"/>
  <c r="J9" i="8"/>
  <c r="J11" i="8"/>
  <c r="J42" i="3" s="1"/>
  <c r="M8" i="12"/>
  <c r="L13" i="12"/>
  <c r="L16" i="12" s="1"/>
  <c r="L21" i="7"/>
  <c r="L26" i="7" s="1"/>
  <c r="M10" i="12"/>
  <c r="J12" i="13"/>
  <c r="J5" i="13"/>
  <c r="J32" i="13"/>
  <c r="J30" i="6"/>
  <c r="L41" i="13" s="1"/>
  <c r="P112" i="17"/>
  <c r="P6" i="3"/>
  <c r="P7" i="4"/>
  <c r="P9" i="4" s="1"/>
  <c r="H12" i="13"/>
  <c r="H5" i="13"/>
  <c r="H32" i="13"/>
  <c r="H30" i="6"/>
  <c r="J41" i="13" s="1"/>
  <c r="P33" i="17"/>
  <c r="P36" i="17" s="1"/>
  <c r="P32" i="17"/>
  <c r="L17" i="6"/>
  <c r="N44" i="13" s="1"/>
  <c r="G7" i="13"/>
  <c r="G38" i="6"/>
  <c r="G41" i="6"/>
  <c r="G4" i="10"/>
  <c r="G43" i="6"/>
  <c r="M18" i="13"/>
  <c r="M17" i="7"/>
  <c r="M7" i="7"/>
  <c r="M11" i="12" s="1"/>
  <c r="M15" i="12"/>
  <c r="P11" i="9"/>
  <c r="P34" i="6" s="1"/>
  <c r="M16" i="6"/>
  <c r="J7" i="13"/>
  <c r="J43" i="6"/>
  <c r="J4" i="10"/>
  <c r="J41" i="6"/>
  <c r="J14" i="13"/>
  <c r="J38" i="6"/>
  <c r="M29" i="7"/>
  <c r="N15" i="12" l="1"/>
  <c r="N85" i="17"/>
  <c r="N47" i="17"/>
  <c r="N17" i="6"/>
  <c r="P44" i="13" s="1"/>
  <c r="I5" i="10"/>
  <c r="I7" i="10"/>
  <c r="I49" i="3" s="1"/>
  <c r="J28" i="13"/>
  <c r="J8" i="13"/>
  <c r="J15" i="13"/>
  <c r="J5" i="12"/>
  <c r="J17" i="12" s="1"/>
  <c r="J30" i="12" s="1"/>
  <c r="J27" i="13"/>
  <c r="J46" i="6"/>
  <c r="J48" i="6" s="1"/>
  <c r="J5" i="11"/>
  <c r="J44" i="6"/>
  <c r="L43" i="13" s="1"/>
  <c r="G5" i="12"/>
  <c r="G17" i="12" s="1"/>
  <c r="G30" i="12" s="1"/>
  <c r="G32" i="12" s="1"/>
  <c r="G5" i="11"/>
  <c r="G9" i="11" s="1"/>
  <c r="H4" i="11" s="1"/>
  <c r="G27" i="13"/>
  <c r="G8" i="13"/>
  <c r="G46" i="6"/>
  <c r="G48" i="6" s="1"/>
  <c r="G44" i="6"/>
  <c r="I43" i="13" s="1"/>
  <c r="K27" i="13"/>
  <c r="K15" i="13"/>
  <c r="K28" i="13"/>
  <c r="K8" i="13"/>
  <c r="K5" i="12"/>
  <c r="K17" i="12" s="1"/>
  <c r="K30" i="12" s="1"/>
  <c r="K5" i="11"/>
  <c r="K44" i="6"/>
  <c r="K46" i="6"/>
  <c r="K48" i="6" s="1"/>
  <c r="I7" i="17"/>
  <c r="P83" i="17"/>
  <c r="P84" i="17" s="1"/>
  <c r="P80" i="17"/>
  <c r="P75" i="17"/>
  <c r="P76" i="17"/>
  <c r="I6" i="17"/>
  <c r="E56" i="2" s="1"/>
  <c r="M23" i="6"/>
  <c r="M25" i="6" s="1"/>
  <c r="M19" i="13"/>
  <c r="N20" i="6"/>
  <c r="N29" i="5"/>
  <c r="N26" i="16"/>
  <c r="N20" i="12"/>
  <c r="N21" i="12" s="1"/>
  <c r="G5" i="10"/>
  <c r="G7" i="10"/>
  <c r="G49" i="3" s="1"/>
  <c r="P77" i="17"/>
  <c r="I39" i="18"/>
  <c r="I40" i="18" s="1"/>
  <c r="I41" i="18" s="1"/>
  <c r="I45" i="18" s="1"/>
  <c r="I47" i="18" s="1"/>
  <c r="H39" i="18"/>
  <c r="H40" i="18" s="1"/>
  <c r="H41" i="18" s="1"/>
  <c r="H45" i="18" s="1"/>
  <c r="H47" i="18" s="1"/>
  <c r="J39" i="18"/>
  <c r="J40" i="18" s="1"/>
  <c r="J41" i="18" s="1"/>
  <c r="J45" i="18" s="1"/>
  <c r="J47" i="18" s="1"/>
  <c r="L39" i="18"/>
  <c r="L40" i="18" s="1"/>
  <c r="K39" i="18"/>
  <c r="K40" i="18" s="1"/>
  <c r="K41" i="18" s="1"/>
  <c r="K45" i="18" s="1"/>
  <c r="K47" i="18" s="1"/>
  <c r="M72" i="18"/>
  <c r="M81" i="18" s="1"/>
  <c r="K90" i="18"/>
  <c r="J76" i="18"/>
  <c r="J85" i="18" s="1"/>
  <c r="K73" i="18"/>
  <c r="K82" i="18" s="1"/>
  <c r="N72" i="18"/>
  <c r="N81" i="18" s="1"/>
  <c r="J71" i="18"/>
  <c r="J80" i="18" s="1"/>
  <c r="M75" i="18"/>
  <c r="M84" i="18" s="1"/>
  <c r="K71" i="18"/>
  <c r="K80" i="18" s="1"/>
  <c r="K76" i="18"/>
  <c r="K85" i="18" s="1"/>
  <c r="N74" i="18"/>
  <c r="N83" i="18" s="1"/>
  <c r="I72" i="18"/>
  <c r="I81" i="18" s="1"/>
  <c r="L75" i="18"/>
  <c r="L84" i="18" s="1"/>
  <c r="N71" i="18"/>
  <c r="N80" i="18" s="1"/>
  <c r="I74" i="18"/>
  <c r="I83" i="18" s="1"/>
  <c r="J90" i="18"/>
  <c r="M74" i="18"/>
  <c r="M83" i="18" s="1"/>
  <c r="L90" i="18"/>
  <c r="I75" i="18"/>
  <c r="I84" i="18" s="1"/>
  <c r="L73" i="18"/>
  <c r="L82" i="18" s="1"/>
  <c r="M71" i="18"/>
  <c r="M80" i="18" s="1"/>
  <c r="K74" i="18"/>
  <c r="K83" i="18" s="1"/>
  <c r="I71" i="18"/>
  <c r="I80" i="18" s="1"/>
  <c r="L72" i="18"/>
  <c r="L81" i="18" s="1"/>
  <c r="I76" i="18"/>
  <c r="I85" i="18" s="1"/>
  <c r="L76" i="18"/>
  <c r="L85" i="18" s="1"/>
  <c r="M73" i="18"/>
  <c r="M82" i="18" s="1"/>
  <c r="J72" i="18"/>
  <c r="J81" i="18" s="1"/>
  <c r="J74" i="18"/>
  <c r="J83" i="18" s="1"/>
  <c r="L74" i="18"/>
  <c r="L83" i="18" s="1"/>
  <c r="J75" i="18"/>
  <c r="J84" i="18" s="1"/>
  <c r="K72" i="18"/>
  <c r="K81" i="18" s="1"/>
  <c r="J73" i="18"/>
  <c r="J82" i="18" s="1"/>
  <c r="L71" i="18"/>
  <c r="L80" i="18" s="1"/>
  <c r="M76" i="18"/>
  <c r="M85" i="18" s="1"/>
  <c r="N73" i="18"/>
  <c r="N82" i="18" s="1"/>
  <c r="I90" i="18"/>
  <c r="N75" i="18"/>
  <c r="N84" i="18" s="1"/>
  <c r="K75" i="18"/>
  <c r="K84" i="18" s="1"/>
  <c r="N76" i="18"/>
  <c r="N85" i="18" s="1"/>
  <c r="H90" i="18"/>
  <c r="I73" i="18"/>
  <c r="I82" i="18" s="1"/>
  <c r="L33" i="13"/>
  <c r="L22" i="16"/>
  <c r="L6" i="13"/>
  <c r="L13" i="13"/>
  <c r="L37" i="6"/>
  <c r="L26" i="6"/>
  <c r="N46" i="13" s="1"/>
  <c r="O76" i="17"/>
  <c r="O83" i="17"/>
  <c r="O84" i="17" s="1"/>
  <c r="O80" i="17"/>
  <c r="O75" i="17"/>
  <c r="O77" i="17" s="1"/>
  <c r="M13" i="12"/>
  <c r="M16" i="12" s="1"/>
  <c r="M21" i="7"/>
  <c r="M26" i="7" s="1"/>
  <c r="H7" i="10"/>
  <c r="H49" i="3" s="1"/>
  <c r="H5" i="10"/>
  <c r="N29" i="7"/>
  <c r="K5" i="8"/>
  <c r="J11" i="7"/>
  <c r="J14" i="7" s="1"/>
  <c r="N10" i="12"/>
  <c r="M45" i="13"/>
  <c r="M41" i="13"/>
  <c r="I5" i="12"/>
  <c r="I17" i="12" s="1"/>
  <c r="I30" i="12" s="1"/>
  <c r="I5" i="11"/>
  <c r="I27" i="13"/>
  <c r="I44" i="6"/>
  <c r="K43" i="13" s="1"/>
  <c r="I28" i="13"/>
  <c r="I8" i="13"/>
  <c r="I46" i="6"/>
  <c r="I48" i="6" s="1"/>
  <c r="I15" i="13"/>
  <c r="O11" i="13"/>
  <c r="O6" i="7"/>
  <c r="K7" i="17"/>
  <c r="P121" i="17"/>
  <c r="P122" i="17" s="1"/>
  <c r="P118" i="17"/>
  <c r="P113" i="17"/>
  <c r="P115" i="17" s="1"/>
  <c r="P114" i="17"/>
  <c r="K6" i="17"/>
  <c r="E57" i="2" s="1"/>
  <c r="N8" i="12"/>
  <c r="O38" i="17"/>
  <c r="O42" i="17"/>
  <c r="O37" i="17"/>
  <c r="O45" i="17"/>
  <c r="O46" i="17" s="1"/>
  <c r="O6" i="11"/>
  <c r="O7" i="12" s="1"/>
  <c r="O6" i="8"/>
  <c r="O24" i="7"/>
  <c r="O8" i="7"/>
  <c r="O12" i="12" s="1"/>
  <c r="O19" i="7"/>
  <c r="O13" i="7"/>
  <c r="O18" i="7"/>
  <c r="O25" i="7"/>
  <c r="O24" i="5"/>
  <c r="O26" i="5"/>
  <c r="O21" i="6" s="1"/>
  <c r="O20" i="13" s="1"/>
  <c r="O12" i="7"/>
  <c r="O19" i="4"/>
  <c r="H28" i="13"/>
  <c r="H8" i="13"/>
  <c r="H44" i="6"/>
  <c r="J43" i="13" s="1"/>
  <c r="H27" i="13"/>
  <c r="H5" i="11"/>
  <c r="H15" i="13"/>
  <c r="H5" i="12"/>
  <c r="H17" i="12" s="1"/>
  <c r="H30" i="12" s="1"/>
  <c r="H46" i="6"/>
  <c r="H48" i="6" s="1"/>
  <c r="J7" i="10"/>
  <c r="J49" i="3" s="1"/>
  <c r="J5" i="10"/>
  <c r="P45" i="17"/>
  <c r="P46" i="17" s="1"/>
  <c r="G7" i="17"/>
  <c r="P42" i="17"/>
  <c r="P37" i="17"/>
  <c r="P39" i="17" s="1"/>
  <c r="P38" i="17"/>
  <c r="G6" i="17"/>
  <c r="E55" i="2" s="1"/>
  <c r="M17" i="6"/>
  <c r="O44" i="13" s="1"/>
  <c r="K5" i="10"/>
  <c r="K7" i="10"/>
  <c r="K49" i="3" s="1"/>
  <c r="P5" i="5"/>
  <c r="P7" i="5" s="1"/>
  <c r="P18" i="4"/>
  <c r="P5" i="6"/>
  <c r="P8" i="6" s="1"/>
  <c r="M27" i="16"/>
  <c r="N7" i="7"/>
  <c r="N11" i="12" s="1"/>
  <c r="N17" i="7"/>
  <c r="N18" i="13"/>
  <c r="O39" i="17"/>
  <c r="O20" i="5"/>
  <c r="O11" i="6"/>
  <c r="O14" i="6" s="1"/>
  <c r="O16" i="6" s="1"/>
  <c r="O123" i="17"/>
  <c r="P47" i="17" l="1"/>
  <c r="G10" i="17"/>
  <c r="G11" i="17"/>
  <c r="G55" i="2" s="1"/>
  <c r="P123" i="17"/>
  <c r="K11" i="17"/>
  <c r="G57" i="2" s="1"/>
  <c r="K10" i="17"/>
  <c r="O85" i="17"/>
  <c r="O7" i="7"/>
  <c r="O11" i="12" s="1"/>
  <c r="O17" i="7"/>
  <c r="O18" i="13"/>
  <c r="H9" i="11"/>
  <c r="I4" i="11" s="1"/>
  <c r="I9" i="11" s="1"/>
  <c r="J4" i="11" s="1"/>
  <c r="J9" i="11" s="1"/>
  <c r="K4" i="11" s="1"/>
  <c r="K9" i="11" s="1"/>
  <c r="L4" i="11" s="1"/>
  <c r="P19" i="7"/>
  <c r="P13" i="7"/>
  <c r="P25" i="7"/>
  <c r="P18" i="7"/>
  <c r="P12" i="7"/>
  <c r="P24" i="5"/>
  <c r="P26" i="5"/>
  <c r="P21" i="6" s="1"/>
  <c r="P20" i="13" s="1"/>
  <c r="P24" i="7"/>
  <c r="P6" i="8"/>
  <c r="P19" i="4"/>
  <c r="P6" i="11"/>
  <c r="P7" i="12" s="1"/>
  <c r="P8" i="7"/>
  <c r="P12" i="12" s="1"/>
  <c r="O26" i="16"/>
  <c r="O20" i="12"/>
  <c r="O21" i="12" s="1"/>
  <c r="O29" i="7"/>
  <c r="L23" i="16"/>
  <c r="L24" i="16" s="1"/>
  <c r="N19" i="13"/>
  <c r="N23" i="6"/>
  <c r="N25" i="6" s="1"/>
  <c r="H31" i="12"/>
  <c r="H32" i="12" s="1"/>
  <c r="G34" i="12"/>
  <c r="O47" i="17"/>
  <c r="P85" i="17"/>
  <c r="I10" i="17"/>
  <c r="I11" i="17"/>
  <c r="G56" i="2" s="1"/>
  <c r="O15" i="12"/>
  <c r="M43" i="13"/>
  <c r="M47" i="13"/>
  <c r="J36" i="7"/>
  <c r="J37" i="7" s="1"/>
  <c r="O10" i="12"/>
  <c r="K11" i="8"/>
  <c r="K42" i="3" s="1"/>
  <c r="K8" i="8"/>
  <c r="K9" i="8" s="1"/>
  <c r="O17" i="6"/>
  <c r="Q44" i="13" s="1"/>
  <c r="P6" i="7"/>
  <c r="P11" i="13"/>
  <c r="B8" i="2"/>
  <c r="L11" i="2"/>
  <c r="B7" i="2"/>
  <c r="L12" i="2"/>
  <c r="P11" i="6"/>
  <c r="P14" i="6" s="1"/>
  <c r="P20" i="5"/>
  <c r="O20" i="6"/>
  <c r="O29" i="5"/>
  <c r="N13" i="12"/>
  <c r="N16" i="12" s="1"/>
  <c r="N21" i="7"/>
  <c r="N26" i="7" s="1"/>
  <c r="M22" i="16"/>
  <c r="M13" i="13"/>
  <c r="M6" i="13"/>
  <c r="M26" i="6"/>
  <c r="O46" i="13" s="1"/>
  <c r="M33" i="13"/>
  <c r="O8" i="12"/>
  <c r="N27" i="16"/>
  <c r="L7" i="13"/>
  <c r="L14" i="13"/>
  <c r="L4" i="10"/>
  <c r="L6" i="10" s="1"/>
  <c r="L38" i="6"/>
  <c r="L41" i="18"/>
  <c r="L45" i="18" s="1"/>
  <c r="P8" i="12" l="1"/>
  <c r="P15" i="12"/>
  <c r="K119" i="17"/>
  <c r="L116" i="17" s="1"/>
  <c r="K81" i="17"/>
  <c r="L78" i="17" s="1"/>
  <c r="K43" i="17"/>
  <c r="L40" i="17" s="1"/>
  <c r="K11" i="7"/>
  <c r="K14" i="7" s="1"/>
  <c r="L5" i="8"/>
  <c r="P10" i="12"/>
  <c r="H34" i="12"/>
  <c r="I31" i="12"/>
  <c r="I32" i="12" s="1"/>
  <c r="O13" i="12"/>
  <c r="O16" i="12" s="1"/>
  <c r="O21" i="7"/>
  <c r="O26" i="7" s="1"/>
  <c r="N22" i="16"/>
  <c r="N33" i="13"/>
  <c r="N6" i="13"/>
  <c r="N13" i="13"/>
  <c r="N26" i="6"/>
  <c r="P46" i="13" s="1"/>
  <c r="F50" i="18"/>
  <c r="F51" i="18" s="1"/>
  <c r="L47" i="18"/>
  <c r="F49" i="18" s="1"/>
  <c r="O19" i="13"/>
  <c r="O23" i="6"/>
  <c r="O25" i="6" s="1"/>
  <c r="P26" i="16"/>
  <c r="P20" i="12"/>
  <c r="P21" i="12" s="1"/>
  <c r="M23" i="16"/>
  <c r="M24" i="16" s="1"/>
  <c r="P29" i="5"/>
  <c r="P20" i="6"/>
  <c r="L7" i="10"/>
  <c r="L40" i="6"/>
  <c r="P18" i="13"/>
  <c r="P17" i="7"/>
  <c r="P7" i="7"/>
  <c r="P11" i="12" s="1"/>
  <c r="P16" i="6"/>
  <c r="O27" i="16"/>
  <c r="P29" i="7"/>
  <c r="F52" i="18" l="1"/>
  <c r="F53" i="18" s="1"/>
  <c r="F54" i="18" s="1"/>
  <c r="P13" i="12"/>
  <c r="P16" i="12" s="1"/>
  <c r="P21" i="7"/>
  <c r="P26" i="7" s="1"/>
  <c r="L41" i="6"/>
  <c r="L43" i="6"/>
  <c r="N23" i="16"/>
  <c r="N24" i="16" s="1"/>
  <c r="L9" i="8"/>
  <c r="L7" i="8"/>
  <c r="K36" i="7"/>
  <c r="K37" i="7" s="1"/>
  <c r="P27" i="16"/>
  <c r="P19" i="13"/>
  <c r="P23" i="6"/>
  <c r="P25" i="6" s="1"/>
  <c r="L41" i="17"/>
  <c r="P17" i="6"/>
  <c r="R44" i="13" s="1"/>
  <c r="O22" i="16"/>
  <c r="O33" i="13"/>
  <c r="O13" i="13"/>
  <c r="O26" i="6"/>
  <c r="Q46" i="13" s="1"/>
  <c r="O6" i="13"/>
  <c r="I34" i="12"/>
  <c r="J31" i="12"/>
  <c r="J32" i="12" s="1"/>
  <c r="L79" i="17"/>
  <c r="L117" i="17"/>
  <c r="L119" i="17" s="1"/>
  <c r="M116" i="17" s="1"/>
  <c r="F58" i="18" l="1"/>
  <c r="F62" i="18" s="1"/>
  <c r="M117" i="17"/>
  <c r="P6" i="13"/>
  <c r="P13" i="13"/>
  <c r="P22" i="16"/>
  <c r="P26" i="6"/>
  <c r="P33" i="13"/>
  <c r="L11" i="8"/>
  <c r="L6" i="12"/>
  <c r="L28" i="6"/>
  <c r="L82" i="17"/>
  <c r="L86" i="17"/>
  <c r="L90" i="17" s="1"/>
  <c r="L8" i="13"/>
  <c r="L5" i="12"/>
  <c r="L5" i="11"/>
  <c r="L9" i="11" s="1"/>
  <c r="M4" i="11" s="1"/>
  <c r="L15" i="13"/>
  <c r="L31" i="7"/>
  <c r="L44" i="6"/>
  <c r="N47" i="13" s="1"/>
  <c r="L46" i="6"/>
  <c r="L48" i="6" s="1"/>
  <c r="M5" i="8"/>
  <c r="L11" i="7"/>
  <c r="L81" i="17"/>
  <c r="M78" i="17" s="1"/>
  <c r="O23" i="16"/>
  <c r="O24" i="16" s="1"/>
  <c r="L44" i="17"/>
  <c r="L48" i="17"/>
  <c r="L52" i="17" s="1"/>
  <c r="J34" i="12"/>
  <c r="K31" i="12"/>
  <c r="K32" i="12" s="1"/>
  <c r="L120" i="17"/>
  <c r="L124" i="17"/>
  <c r="L128" i="17" s="1"/>
  <c r="H70" i="18"/>
  <c r="F55" i="18"/>
  <c r="H79" i="18" s="1"/>
  <c r="L43" i="17"/>
  <c r="M40" i="17" s="1"/>
  <c r="F59" i="18" l="1"/>
  <c r="L33" i="7"/>
  <c r="P23" i="16"/>
  <c r="P24" i="16" s="1"/>
  <c r="M41" i="17"/>
  <c r="L31" i="12"/>
  <c r="K34" i="12"/>
  <c r="E12" i="19"/>
  <c r="L17" i="12"/>
  <c r="L30" i="12" s="1"/>
  <c r="L25" i="16"/>
  <c r="L28" i="16" s="1"/>
  <c r="L29" i="6"/>
  <c r="M7" i="8"/>
  <c r="M9" i="8" s="1"/>
  <c r="M120" i="17"/>
  <c r="M124" i="17"/>
  <c r="M128" i="17" s="1"/>
  <c r="F64" i="18"/>
  <c r="F63" i="18"/>
  <c r="M79" i="17"/>
  <c r="R46" i="13"/>
  <c r="G7" i="2"/>
  <c r="M119" i="17"/>
  <c r="N116" i="17" s="1"/>
  <c r="N5" i="8" l="1"/>
  <c r="M11" i="7"/>
  <c r="L31" i="13"/>
  <c r="L35" i="7"/>
  <c r="L28" i="13"/>
  <c r="L27" i="13"/>
  <c r="L30" i="6"/>
  <c r="N45" i="13" s="1"/>
  <c r="L12" i="13"/>
  <c r="L5" i="13"/>
  <c r="L32" i="13"/>
  <c r="M44" i="17"/>
  <c r="M48" i="17"/>
  <c r="M52" i="17" s="1"/>
  <c r="N117" i="17"/>
  <c r="M11" i="8"/>
  <c r="M6" i="12"/>
  <c r="M28" i="6"/>
  <c r="L32" i="12"/>
  <c r="M82" i="17"/>
  <c r="M86" i="17"/>
  <c r="M90" i="17" s="1"/>
  <c r="M81" i="17"/>
  <c r="N78" i="17" s="1"/>
  <c r="L44" i="16"/>
  <c r="M43" i="17"/>
  <c r="N40" i="17" s="1"/>
  <c r="N120" i="17" l="1"/>
  <c r="N124" i="17"/>
  <c r="N128" i="17" s="1"/>
  <c r="N41" i="17"/>
  <c r="N43" i="17"/>
  <c r="O40" i="17" s="1"/>
  <c r="N79" i="17"/>
  <c r="N81" i="17"/>
  <c r="O78" i="17" s="1"/>
  <c r="L5" i="7"/>
  <c r="M31" i="12"/>
  <c r="M25" i="16"/>
  <c r="M28" i="16" s="1"/>
  <c r="M29" i="6"/>
  <c r="N119" i="17"/>
  <c r="O116" i="17" s="1"/>
  <c r="N7" i="8"/>
  <c r="N9" i="8" s="1"/>
  <c r="L9" i="7" l="1"/>
  <c r="M14" i="9"/>
  <c r="M16" i="9" s="1"/>
  <c r="L34" i="12"/>
  <c r="N11" i="7"/>
  <c r="O5" i="8"/>
  <c r="O79" i="17"/>
  <c r="O81" i="17"/>
  <c r="P78" i="17" s="1"/>
  <c r="M44" i="16"/>
  <c r="N6" i="12"/>
  <c r="N11" i="8"/>
  <c r="N28" i="6"/>
  <c r="N82" i="17"/>
  <c r="N86" i="17"/>
  <c r="N90" i="17" s="1"/>
  <c r="O117" i="17"/>
  <c r="O119" i="17"/>
  <c r="P116" i="17" s="1"/>
  <c r="O41" i="17"/>
  <c r="O43" i="17"/>
  <c r="P40" i="17" s="1"/>
  <c r="M12" i="13"/>
  <c r="M5" i="13"/>
  <c r="M30" i="6"/>
  <c r="O45" i="13" s="1"/>
  <c r="M32" i="13"/>
  <c r="N44" i="17"/>
  <c r="N48" i="17"/>
  <c r="N52" i="17" s="1"/>
  <c r="P79" i="17" l="1"/>
  <c r="P81" i="17"/>
  <c r="O82" i="17"/>
  <c r="O86" i="17"/>
  <c r="O90" i="17" s="1"/>
  <c r="O7" i="8"/>
  <c r="N25" i="16"/>
  <c r="N28" i="16" s="1"/>
  <c r="N29" i="6"/>
  <c r="P41" i="17"/>
  <c r="P43" i="17"/>
  <c r="O44" i="17"/>
  <c r="O48" i="17"/>
  <c r="O52" i="17" s="1"/>
  <c r="P117" i="17"/>
  <c r="P119" i="17"/>
  <c r="O120" i="17"/>
  <c r="O124" i="17"/>
  <c r="O128" i="17" s="1"/>
  <c r="M125" i="17"/>
  <c r="M126" i="17" s="1"/>
  <c r="M87" i="17"/>
  <c r="M88" i="17" s="1"/>
  <c r="M49" i="17"/>
  <c r="M50" i="17" s="1"/>
  <c r="M33" i="6"/>
  <c r="M37" i="6" s="1"/>
  <c r="L24" i="13"/>
  <c r="L23" i="13"/>
  <c r="L14" i="7"/>
  <c r="L36" i="7" s="1"/>
  <c r="L37" i="7" s="1"/>
  <c r="O6" i="12" l="1"/>
  <c r="O11" i="8"/>
  <c r="O28" i="6"/>
  <c r="N12" i="13"/>
  <c r="N5" i="13"/>
  <c r="N30" i="6"/>
  <c r="P45" i="13" s="1"/>
  <c r="N32" i="13"/>
  <c r="N44" i="16"/>
  <c r="P120" i="17"/>
  <c r="P124" i="17"/>
  <c r="O9" i="8"/>
  <c r="M4" i="10"/>
  <c r="M6" i="10" s="1"/>
  <c r="M7" i="13"/>
  <c r="M14" i="13"/>
  <c r="M38" i="6"/>
  <c r="P44" i="17"/>
  <c r="P48" i="17"/>
  <c r="P82" i="17"/>
  <c r="P86" i="17"/>
  <c r="M40" i="6" l="1"/>
  <c r="M7" i="10"/>
  <c r="K93" i="17"/>
  <c r="K94" i="17" s="1"/>
  <c r="P90" i="17"/>
  <c r="K92" i="17" s="1"/>
  <c r="I13" i="17"/>
  <c r="P5" i="8"/>
  <c r="O11" i="7"/>
  <c r="K131" i="17"/>
  <c r="K132" i="17" s="1"/>
  <c r="K13" i="17"/>
  <c r="H57" i="2" s="1"/>
  <c r="P128" i="17"/>
  <c r="K130" i="17" s="1"/>
  <c r="G8" i="17"/>
  <c r="G9" i="17"/>
  <c r="K9" i="17"/>
  <c r="K8" i="17"/>
  <c r="O25" i="16"/>
  <c r="O28" i="16" s="1"/>
  <c r="O29" i="6"/>
  <c r="I8" i="17"/>
  <c r="I9" i="17"/>
  <c r="G13" i="17"/>
  <c r="H55" i="2" s="1"/>
  <c r="K55" i="17"/>
  <c r="K56" i="17" s="1"/>
  <c r="P52" i="17"/>
  <c r="K54" i="17" s="1"/>
  <c r="K95" i="17" l="1"/>
  <c r="K96" i="17" s="1"/>
  <c r="O30" i="6"/>
  <c r="Q45" i="13" s="1"/>
  <c r="O12" i="13"/>
  <c r="O5" i="13"/>
  <c r="O32" i="13"/>
  <c r="P7" i="8"/>
  <c r="P9" i="8" s="1"/>
  <c r="P11" i="7" s="1"/>
  <c r="I14" i="17"/>
  <c r="I56" i="2" s="1"/>
  <c r="F60" i="18"/>
  <c r="F61" i="18" s="1"/>
  <c r="H56" i="2"/>
  <c r="K133" i="17"/>
  <c r="O44" i="16"/>
  <c r="K57" i="17"/>
  <c r="M41" i="6"/>
  <c r="M43" i="6"/>
  <c r="K97" i="17" l="1"/>
  <c r="I15" i="17"/>
  <c r="J56" i="2" s="1"/>
  <c r="P11" i="8"/>
  <c r="P28" i="6"/>
  <c r="P6" i="12"/>
  <c r="M15" i="13"/>
  <c r="M5" i="12"/>
  <c r="M17" i="12" s="1"/>
  <c r="M30" i="12" s="1"/>
  <c r="M32" i="12" s="1"/>
  <c r="M5" i="11"/>
  <c r="M9" i="11" s="1"/>
  <c r="N4" i="11" s="1"/>
  <c r="M8" i="13"/>
  <c r="M46" i="6"/>
  <c r="M48" i="6" s="1"/>
  <c r="M44" i="6"/>
  <c r="O47" i="13" s="1"/>
  <c r="M31" i="7"/>
  <c r="K134" i="17"/>
  <c r="K14" i="17"/>
  <c r="I57" i="2" s="1"/>
  <c r="K58" i="17"/>
  <c r="G14" i="17"/>
  <c r="I55" i="2" s="1"/>
  <c r="N31" i="12" l="1"/>
  <c r="M5" i="7"/>
  <c r="M34" i="12" s="1"/>
  <c r="M33" i="7"/>
  <c r="K15" i="17"/>
  <c r="J57" i="2" s="1"/>
  <c r="K135" i="17"/>
  <c r="K59" i="17"/>
  <c r="G15" i="17"/>
  <c r="J55" i="2" s="1"/>
  <c r="P25" i="16"/>
  <c r="P28" i="16" s="1"/>
  <c r="P29" i="6"/>
  <c r="I16" i="17"/>
  <c r="I17" i="17"/>
  <c r="M56" i="2" s="1"/>
  <c r="K17" i="17" l="1"/>
  <c r="M57" i="2" s="1"/>
  <c r="K16" i="17"/>
  <c r="L57" i="2" s="1"/>
  <c r="L56" i="2"/>
  <c r="I100" i="16"/>
  <c r="I102" i="16" s="1"/>
  <c r="I104" i="16" s="1"/>
  <c r="G100" i="16"/>
  <c r="G102" i="16" s="1"/>
  <c r="E100" i="16"/>
  <c r="E102" i="16" s="1"/>
  <c r="E104" i="16" s="1"/>
  <c r="P12" i="13"/>
  <c r="P5" i="13"/>
  <c r="P30" i="6"/>
  <c r="R45" i="13" s="1"/>
  <c r="P32" i="13"/>
  <c r="F33" i="16"/>
  <c r="F36" i="16" s="1"/>
  <c r="F37" i="16" s="1"/>
  <c r="K45" i="16" s="1"/>
  <c r="P44" i="16"/>
  <c r="E13" i="19"/>
  <c r="P67" i="16"/>
  <c r="P76" i="16" s="1"/>
  <c r="L65" i="16"/>
  <c r="L74" i="16" s="1"/>
  <c r="N66" i="16"/>
  <c r="N75" i="16" s="1"/>
  <c r="L68" i="16"/>
  <c r="L77" i="16" s="1"/>
  <c r="M68" i="16"/>
  <c r="M77" i="16" s="1"/>
  <c r="O69" i="16"/>
  <c r="O78" i="16" s="1"/>
  <c r="L66" i="16"/>
  <c r="L75" i="16" s="1"/>
  <c r="N69" i="16"/>
  <c r="N78" i="16" s="1"/>
  <c r="N68" i="16"/>
  <c r="N77" i="16" s="1"/>
  <c r="N67" i="16"/>
  <c r="N76" i="16" s="1"/>
  <c r="O65" i="16"/>
  <c r="O74" i="16" s="1"/>
  <c r="L67" i="16"/>
  <c r="L76" i="16" s="1"/>
  <c r="P66" i="16"/>
  <c r="P75" i="16" s="1"/>
  <c r="M66" i="16"/>
  <c r="M75" i="16" s="1"/>
  <c r="M65" i="16"/>
  <c r="M74" i="16" s="1"/>
  <c r="M69" i="16"/>
  <c r="M78" i="16" s="1"/>
  <c r="P65" i="16"/>
  <c r="P74" i="16" s="1"/>
  <c r="M67" i="16"/>
  <c r="M76" i="16" s="1"/>
  <c r="P69" i="16"/>
  <c r="P78" i="16" s="1"/>
  <c r="O68" i="16"/>
  <c r="O77" i="16" s="1"/>
  <c r="N65" i="16"/>
  <c r="N74" i="16" s="1"/>
  <c r="P68" i="16"/>
  <c r="P77" i="16" s="1"/>
  <c r="O66" i="16"/>
  <c r="O75" i="16" s="1"/>
  <c r="O67" i="16"/>
  <c r="O76" i="16" s="1"/>
  <c r="L69" i="16"/>
  <c r="L78" i="16" s="1"/>
  <c r="N14" i="9"/>
  <c r="N16" i="9" s="1"/>
  <c r="M9" i="7"/>
  <c r="M31" i="13"/>
  <c r="M35" i="7"/>
  <c r="M27" i="13"/>
  <c r="M28" i="13"/>
  <c r="G16" i="17"/>
  <c r="L55" i="2" s="1"/>
  <c r="G17" i="17"/>
  <c r="M55" i="2" s="1"/>
  <c r="K46" i="16" l="1"/>
  <c r="K47" i="16" s="1"/>
  <c r="Q12" i="2" s="1"/>
  <c r="G105" i="16"/>
  <c r="E105" i="16"/>
  <c r="E106" i="16" s="1"/>
  <c r="E107" i="16" s="1"/>
  <c r="E108" i="16" s="1"/>
  <c r="I105" i="16"/>
  <c r="I106" i="16" s="1"/>
  <c r="I107" i="16" s="1"/>
  <c r="I108" i="16" s="1"/>
  <c r="N125" i="17"/>
  <c r="N126" i="17" s="1"/>
  <c r="N87" i="17"/>
  <c r="N88" i="17" s="1"/>
  <c r="N49" i="17"/>
  <c r="N50" i="17" s="1"/>
  <c r="N33" i="6"/>
  <c r="N37" i="6" s="1"/>
  <c r="F67" i="16"/>
  <c r="F68" i="16"/>
  <c r="I84" i="16"/>
  <c r="E84" i="16"/>
  <c r="F69" i="16"/>
  <c r="G104" i="16"/>
  <c r="G110" i="16"/>
  <c r="C111" i="16" s="1"/>
  <c r="M24" i="13"/>
  <c r="M23" i="13"/>
  <c r="M14" i="7"/>
  <c r="M36" i="7" s="1"/>
  <c r="M37" i="7" s="1"/>
  <c r="G106" i="16" l="1"/>
  <c r="G107" i="16" s="1"/>
  <c r="G108" i="16" s="1"/>
  <c r="I49" i="2"/>
  <c r="C91" i="16"/>
  <c r="K84" i="16"/>
  <c r="L8" i="2"/>
  <c r="G49" i="2"/>
  <c r="N7" i="13"/>
  <c r="N14" i="13"/>
  <c r="N38" i="6"/>
  <c r="N4" i="10"/>
  <c r="N6" i="10" s="1"/>
  <c r="F15" i="18"/>
  <c r="F18" i="18" s="1"/>
  <c r="C93" i="18" s="1"/>
  <c r="K52" i="16"/>
  <c r="K64" i="16"/>
  <c r="K56" i="16" l="1"/>
  <c r="F16" i="18"/>
  <c r="N40" i="6"/>
  <c r="N7" i="10"/>
  <c r="N41" i="6" l="1"/>
  <c r="N43" i="6"/>
  <c r="G109" i="16"/>
  <c r="F17" i="18"/>
  <c r="C56" i="18" s="1"/>
  <c r="G84" i="16"/>
  <c r="K73" i="16"/>
  <c r="K58" i="16"/>
  <c r="F66" i="16"/>
  <c r="L7" i="2"/>
  <c r="B59" i="2"/>
  <c r="I19" i="17"/>
  <c r="D91" i="16" l="1"/>
  <c r="J49" i="2"/>
  <c r="H49" i="2"/>
  <c r="F91" i="16"/>
  <c r="N5" i="12"/>
  <c r="N17" i="12" s="1"/>
  <c r="N30" i="12" s="1"/>
  <c r="N32" i="12" s="1"/>
  <c r="N15" i="13"/>
  <c r="N46" i="6"/>
  <c r="N48" i="6" s="1"/>
  <c r="N8" i="13"/>
  <c r="N5" i="11"/>
  <c r="N9" i="11" s="1"/>
  <c r="O4" i="11" s="1"/>
  <c r="N44" i="6"/>
  <c r="P47" i="13" s="1"/>
  <c r="N31" i="7"/>
  <c r="N5" i="7" l="1"/>
  <c r="N34" i="12" s="1"/>
  <c r="O31" i="12"/>
  <c r="N33" i="7"/>
  <c r="N31" i="13" l="1"/>
  <c r="N35" i="7"/>
  <c r="N27" i="13"/>
  <c r="N28" i="13"/>
  <c r="N9" i="7"/>
  <c r="O14" i="9"/>
  <c r="O16" i="9" s="1"/>
  <c r="O87" i="17" l="1"/>
  <c r="O88" i="17" s="1"/>
  <c r="O125" i="17"/>
  <c r="O126" i="17" s="1"/>
  <c r="O49" i="17"/>
  <c r="O50" i="17" s="1"/>
  <c r="O33" i="6"/>
  <c r="O37" i="6" s="1"/>
  <c r="N24" i="13"/>
  <c r="N14" i="7"/>
  <c r="N36" i="7" s="1"/>
  <c r="N37" i="7" s="1"/>
  <c r="N23" i="13"/>
  <c r="O38" i="6" l="1"/>
  <c r="O14" i="13"/>
  <c r="O7" i="13"/>
  <c r="O4" i="10"/>
  <c r="O6" i="10" s="1"/>
  <c r="O7" i="10" l="1"/>
  <c r="O40" i="6"/>
  <c r="O41" i="6" l="1"/>
  <c r="O43" i="6"/>
  <c r="O15" i="13" l="1"/>
  <c r="O5" i="12"/>
  <c r="O17" i="12" s="1"/>
  <c r="O30" i="12" s="1"/>
  <c r="O32" i="12" s="1"/>
  <c r="O5" i="11"/>
  <c r="O9" i="11" s="1"/>
  <c r="P4" i="11" s="1"/>
  <c r="O8" i="13"/>
  <c r="O46" i="6"/>
  <c r="O48" i="6" s="1"/>
  <c r="O44" i="6"/>
  <c r="Q47" i="13" s="1"/>
  <c r="O31" i="7"/>
  <c r="P31" i="12" l="1"/>
  <c r="O5" i="7"/>
  <c r="O34" i="12" s="1"/>
  <c r="O33" i="7"/>
  <c r="O31" i="13" l="1"/>
  <c r="O35" i="7"/>
  <c r="O28" i="13"/>
  <c r="O27" i="13"/>
  <c r="P14" i="9"/>
  <c r="P16" i="9" s="1"/>
  <c r="O9" i="7"/>
  <c r="P125" i="17" l="1"/>
  <c r="P126" i="17" s="1"/>
  <c r="K12" i="17" s="1"/>
  <c r="P87" i="17"/>
  <c r="P88" i="17" s="1"/>
  <c r="I12" i="17" s="1"/>
  <c r="P33" i="6"/>
  <c r="P37" i="6" s="1"/>
  <c r="P49" i="17"/>
  <c r="P50" i="17" s="1"/>
  <c r="G12" i="17" s="1"/>
  <c r="O23" i="13"/>
  <c r="O14" i="7"/>
  <c r="O36" i="7" s="1"/>
  <c r="O37" i="7" s="1"/>
  <c r="O24" i="13"/>
  <c r="P14" i="13" l="1"/>
  <c r="P4" i="10"/>
  <c r="P6" i="10" s="1"/>
  <c r="P7" i="13"/>
  <c r="P38" i="6"/>
  <c r="P7" i="10" l="1"/>
  <c r="P40" i="6"/>
  <c r="P41" i="6" l="1"/>
  <c r="P43" i="6"/>
  <c r="P8" i="13" l="1"/>
  <c r="P15" i="13"/>
  <c r="P44" i="6"/>
  <c r="R47" i="13" s="1"/>
  <c r="P5" i="12"/>
  <c r="P17" i="12" s="1"/>
  <c r="P30" i="12" s="1"/>
  <c r="P32" i="12" s="1"/>
  <c r="P46" i="6"/>
  <c r="P48" i="6" s="1"/>
  <c r="P5" i="11"/>
  <c r="P9" i="11" s="1"/>
  <c r="P31" i="7"/>
  <c r="P5" i="7" l="1"/>
  <c r="P9" i="7" s="1"/>
  <c r="P33" i="7"/>
  <c r="E8" i="19"/>
  <c r="P34" i="12" l="1"/>
  <c r="E7" i="19" s="1"/>
  <c r="R49" i="2" s="1"/>
  <c r="P31" i="13"/>
  <c r="P35" i="7"/>
  <c r="P27" i="13"/>
  <c r="P28" i="13"/>
  <c r="P24" i="13"/>
  <c r="P23" i="13"/>
  <c r="P14" i="7"/>
  <c r="P36" i="7" l="1"/>
  <c r="P37" i="7" s="1"/>
  <c r="E6" i="19" s="1"/>
  <c r="E15" i="19"/>
  <c r="E18" i="19" l="1"/>
  <c r="R51" i="2" s="1"/>
  <c r="R48" i="2"/>
</calcChain>
</file>

<file path=xl/sharedStrings.xml><?xml version="1.0" encoding="utf-8"?>
<sst xmlns="http://schemas.openxmlformats.org/spreadsheetml/2006/main" count="1709" uniqueCount="859">
  <si>
    <t>NASDAQ: TSLA</t>
  </si>
  <si>
    <t>TESLA, INC.</t>
  </si>
  <si>
    <t>FINANCIAL MODEL &amp; VALUATION</t>
  </si>
  <si>
    <t>Integrated Financial Model     |     FY2021A – FY2030E</t>
  </si>
  <si>
    <t>DCF     |     Trading Comparables     |     Precedent Transactions</t>
  </si>
  <si>
    <t>MODEL PROFILE</t>
  </si>
  <si>
    <t>PREPARED BY</t>
  </si>
  <si>
    <t>Yash Andhrutkar</t>
  </si>
  <si>
    <t>MODEL PERIOD</t>
  </si>
  <si>
    <t>FY2021A – FY2030E   (5 historical years, 5 forecast years)</t>
  </si>
  <si>
    <t>CURRENCY &amp; UNITS</t>
  </si>
  <si>
    <t>USD millions, except per-share and operating data</t>
  </si>
  <si>
    <t>HISTORICAL SOURCE</t>
  </si>
  <si>
    <t>Tesla, Inc. SEC filings, FY2021–FY2025</t>
  </si>
  <si>
    <t>MARKET DATA</t>
  </si>
  <si>
    <t>3 September 2026 close</t>
  </si>
  <si>
    <t>LAST UPDATED</t>
  </si>
  <si>
    <t>NAVIGATION</t>
  </si>
  <si>
    <t>→   Model Summary</t>
  </si>
  <si>
    <t>KPIs, revenue mix, margins, FCFF, football field, scenario strip</t>
  </si>
  <si>
    <t>→   Assumptions</t>
  </si>
  <si>
    <t>Every driver, its rationale and the Bear/Base/Bull grids</t>
  </si>
  <si>
    <t>→   Scenario Analysis</t>
  </si>
  <si>
    <t>Bear, Base and Bull built in parallel from one model</t>
  </si>
  <si>
    <t>→   Valuation</t>
  </si>
  <si>
    <t>DCF, WACC × TGR sensitivity, exit-multiple and beta cross-checks</t>
  </si>
  <si>
    <t>→   Reverse DCF</t>
  </si>
  <si>
    <t>What the market price would require</t>
  </si>
  <si>
    <t>→   Sources &amp; Notes</t>
  </si>
  <si>
    <t>Every external input, with its source</t>
  </si>
  <si>
    <t>Academic / portfolio financial model. Historical figures are taken from Tesla, Inc. SEC filings; FY2026E–FY2030E figures are the author's own forecasts. Trading comparables are priced at the 3 September 2026 close. This workbook is not investment advice and no recommendation is made to any person to buy or sell any security.</t>
  </si>
  <si>
    <t>TESLA, INC.   ·   MODEL SUMMARY</t>
  </si>
  <si>
    <t>Integrated three-statement model   ·   driver-based forecast   ·   DCF and trading-comparables valuation   ·   all figures link live to the model</t>
  </si>
  <si>
    <t>FY2030E REVENUE</t>
  </si>
  <si>
    <t>FY2030E EBIT MARGIN</t>
  </si>
  <si>
    <t>DCF IMPLIED VALUE / SHARE</t>
  </si>
  <si>
    <t>WACC</t>
  </si>
  <si>
    <t>CURRENT MARKET PRICE</t>
  </si>
  <si>
    <t>COMPARABLE COS. BASE VALUE</t>
  </si>
  <si>
    <t>FY2025A–FY2030E REVENUE CAGR</t>
  </si>
  <si>
    <t>TERMINAL GROWTH RATE</t>
  </si>
  <si>
    <t>"3 September 2026 close"</t>
  </si>
  <si>
    <t>VALUATION SUMMARY — IMPLIED SHARE PRICE</t>
  </si>
  <si>
    <t>MODEL INTEGRITY &amp; KEY OUTPUTS</t>
  </si>
  <si>
    <t>Method</t>
  </si>
  <si>
    <t>Low</t>
  </si>
  <si>
    <t>Base</t>
  </si>
  <si>
    <t>High</t>
  </si>
  <si>
    <t>vs. market</t>
  </si>
  <si>
    <t>Balance sheet check, FY2021A–FY2030E</t>
  </si>
  <si>
    <t>Discounted Cash Flow</t>
  </si>
  <si>
    <t>Cash check, FY2021A–FY2030E</t>
  </si>
  <si>
    <t>Comparable Companies</t>
  </si>
  <si>
    <t>WACC &gt; terminal growth</t>
  </si>
  <si>
    <t>Current Market Price</t>
  </si>
  <si>
    <t>–</t>
  </si>
  <si>
    <t>All model checks (see Model Checks sheet)</t>
  </si>
  <si>
    <t>SCENARIO VALUATION — ONE INTEGRATED MODEL, THREE CASES</t>
  </si>
  <si>
    <t>Case</t>
  </si>
  <si>
    <t>FY30E revenue</t>
  </si>
  <si>
    <t>FY30E EBIT margin</t>
  </si>
  <si>
    <t>FY30E FCFF</t>
  </si>
  <si>
    <t>Enterprise value</t>
  </si>
  <si>
    <t>Equity value</t>
  </si>
  <si>
    <t>DCF $/share</t>
  </si>
  <si>
    <t>Scenario character</t>
  </si>
  <si>
    <t>Bear</t>
  </si>
  <si>
    <t>Slower deliveries, sustained pricing pressure, weaker margin recovery, higher capex</t>
  </si>
  <si>
    <t>Bull</t>
  </si>
  <si>
    <t>Stronger volume and mix, faster Energy scaling, full operating leverage</t>
  </si>
  <si>
    <t>Every figure and chart on this sheet is linked live to the model. Chart sources — revenue mix: IS!G5:P7 · margins: 'Ratio Analysis'!I40:R47 · FCFF: Valuation!L28:P28 · football field: Valuation!C91:F93.  Scenario strip: 'Scenario Analysis'!G6:K17.</t>
  </si>
  <si>
    <t>◄  Cover</t>
  </si>
  <si>
    <t>ASSUMPTIONS</t>
  </si>
  <si>
    <t>HELPER COLUMN — full text of every forecast rationale, kept here so the wording stays auditable and searchable. The user-facing version is displayed in the callout boxes beside each assumption block. Column is hidden by default.</t>
  </si>
  <si>
    <t>USD millions except per-share and operating data   ·   Blue = input   ·   Black = same-sheet formula   ·   Green = cross-sheet link   ·   Shaded = scenario-driven</t>
  </si>
  <si>
    <t>SCENARIO  ▸</t>
  </si>
  <si>
    <t>Unit</t>
  </si>
  <si>
    <t>FY21A</t>
  </si>
  <si>
    <t>FY22A</t>
  </si>
  <si>
    <t>FY23A</t>
  </si>
  <si>
    <t>FY24A</t>
  </si>
  <si>
    <t>FY25A</t>
  </si>
  <si>
    <t>FY26E</t>
  </si>
  <si>
    <t>FY27E</t>
  </si>
  <si>
    <t>FY28E</t>
  </si>
  <si>
    <t>FY29E</t>
  </si>
  <si>
    <t>FY30E</t>
  </si>
  <si>
    <t>FORECAST RATIONALE (FY2026E – FY2030E)</t>
  </si>
  <si>
    <t>AUTOMOTIVE</t>
  </si>
  <si>
    <t>AUTOMOTIVE | Vehicle deliveries — recovery from 1.64m in FY2025A to 2.54m by FY2030E, a 9.2% CAGR (+6%, +10%, +12%, +10%, +8%). Growth is rebuilt gradually rather than extrapolated from the FY2021–FY2023 ramp.  ASP per delivery — (3.0%), (2.0%), then +1.0%, +1.0%, +2.0%. Pricing stays under competitive pressure near term before stabilising, so the forecast never relies on unit growth alone.  Regulatory credits — declining 30%, 20%, 10%, 5%, 5% as other OEMs meet emissions rules from their own fleets — treated as a wasting revenue stream, not a perpetual one.  Automotive gross margin — 19.0% rising to 23.0%: a partial recovery from the depressed FY2025A level on scale and manufacturing cost, deliberately held below the FY2022 peak.</t>
  </si>
  <si>
    <t>Vehicle Deliveries (context)</t>
  </si>
  <si>
    <t>units</t>
  </si>
  <si>
    <t>Delivery Growth %</t>
  </si>
  <si>
    <t>Automotive Revenue per Delivery (context)</t>
  </si>
  <si>
    <t>$/unit</t>
  </si>
  <si>
    <t>ASP Growth %</t>
  </si>
  <si>
    <t>Automotive Regulatory Credits (context)</t>
  </si>
  <si>
    <t>$M</t>
  </si>
  <si>
    <t>Regulatory Credit Revenue Growth %</t>
  </si>
  <si>
    <t>Automotive Gross Margin %</t>
  </si>
  <si>
    <t>ENERGY GENERATION &amp; STORAGE</t>
  </si>
  <si>
    <t>ENERGY GENERATION &amp; STORAGE | Revenue growth — 30% in FY2026E decelerating to 15% by FY2030E ($12,771M → $33,794M). The fastest-growing modelled segment; deceleration reflects a larger base, not weaker demand.  Gross margin — 30.0% rising to 32.0% as deployments scale and mix shifts toward grid-scale storage.</t>
  </si>
  <si>
    <t>Energy Revenue Growth %</t>
  </si>
  <si>
    <t>Energy Gross Margin %</t>
  </si>
  <si>
    <t>SERVICES &amp; OTHER</t>
  </si>
  <si>
    <t>SERVICES &amp; OTHER | Revenue growth — 15% decelerating to 11%, tied to the growing installed vehicle base — after-sales, used vehicles, charging and insurance.  Gross margin — 12.0% rising to 15.0% on maturing service economics; kept well below the other segments because the mix stays weighted to lower-margin activity.</t>
  </si>
  <si>
    <t>Services &amp; Other Revenue Growth %</t>
  </si>
  <si>
    <t>Services Gross Margin %</t>
  </si>
  <si>
    <t>OPERATING COSTS</t>
  </si>
  <si>
    <t>OPERATING EXPENSES | R&amp;D — 7.0% of revenue falling to 6.0%. Absolute spend still rises every year — the ratio falls because revenue grows faster, giving leverage without assuming a cut in investment.  SG&amp;A — 6.0% of revenue falling to 5.0% on the same logic. Restructuring is set to nil, being non-recurring.</t>
  </si>
  <si>
    <t>R&amp;D as % of Total Revenue</t>
  </si>
  <si>
    <t>SG&amp;A as % of Total Revenue</t>
  </si>
  <si>
    <t>WORKING CAPITAL &amp; BALANCE SHEET DRIVERS</t>
  </si>
  <si>
    <t>WORKING CAPITAL | Receivable, inventory and payable days — 18 → 17, 55 → 48 and 62 → 60 respectively: modest efficiency gains consistent with a maturing manufacturing base, not an aggressive release of working capital.  Other current assets and accrued liabilities — 38% → 42% and 13% → 12% of revenue, both held close to their historical relationship to the top line.  Deferred revenue — held at 3.5% of revenue for the current and non-current portions alike, in line with FY2023–FY2025 actuals.  Why ratios, not plugs — each item is driven off revenue or COGS, so the balance sheet and cash flow statement respond consistently whenever the revenue build changes.</t>
  </si>
  <si>
    <t>Accounts Receivable (Days of Revenue)</t>
  </si>
  <si>
    <t>Inventory (Days of COGS)</t>
  </si>
  <si>
    <t>Accounts Payable (Days of COGS)</t>
  </si>
  <si>
    <t>Other Current Assets (% of Revenue)</t>
  </si>
  <si>
    <t>Accrued Liabilities &amp; Other (% of Revenue)</t>
  </si>
  <si>
    <t>Deferred Revenue - Current (% of Revenue)</t>
  </si>
  <si>
    <t>Operating Lease ROU Assets (% of Revenue)</t>
  </si>
  <si>
    <t>Deferred Revenue - Non-Current (% of Revenue)</t>
  </si>
  <si>
    <t>Other Non-Current Assets (% of Revenue)</t>
  </si>
  <si>
    <t>Other Non-Current Liabilities (% of Revenue)</t>
  </si>
  <si>
    <t>CAPITAL EXPENDITURE &amp; DEPRECIATION</t>
  </si>
  <si>
    <t>CAPEX &amp; DEPRECIATION | CapEx — 10.0% of revenue falling to 8.0% — absolute capital expenditure still rises to $12,913M by FY2030E while the intensity of the current expansion phase moderates.  Depreciation — 16.5% of opening net PP&amp;E falling to 15.0%, applied through the asset schedule so PP&amp;E rolls forward on capex less depreciation.</t>
  </si>
  <si>
    <t>CapEx as % of Total Revenue</t>
  </si>
  <si>
    <t>Depreciation Rate (% of Opening Net PP&amp;E)</t>
  </si>
  <si>
    <t>LOANS &amp; OTHER INCOME</t>
  </si>
  <si>
    <t>FINANCING, TAX &amp; EQUITY | Debt — held flat at the FY2025A closing balance with no net new borrowing; interest expense at 5.0% on the average balance.  Return on cash — 4.5% falling to 4.0%, applied to the prior-year cash balance so the model stays free of circular references.  Tax — normalised at 24.0%, replacing the distorted FY2023 actual (a one-off valuation-allowance release).  Equity — stock-based compensation and net issuance at 4.0% of revenue falling to 3.5%; no dividends are assumed.</t>
  </si>
  <si>
    <t>Effective Interest Rate on Debt</t>
  </si>
  <si>
    <t>Return Rate on Cash &amp; Investments</t>
  </si>
  <si>
    <t>TAX</t>
  </si>
  <si>
    <t>Effective / Normalized Tax Rate</t>
  </si>
  <si>
    <t>EQUITY</t>
  </si>
  <si>
    <t>Stock-Based Comp &amp; Net Equity Issuance (% of Revenue)</t>
  </si>
  <si>
    <t>Dividend Payout</t>
  </si>
  <si>
    <t>VALUATION ASSUMPTIONS</t>
  </si>
  <si>
    <t>VALUATION INPUTS | WACC — built from CAPM — risk-free 4.77%, levered beta 1.84, equity risk premium 5.0%, pre-tax cost of debt 5.0% at the normalised 24% tax rate, weighted at market values.  Terminal growth — 3.0%, at long-run nominal economic growth. No premium is embedded for autonomy, AI or robotics optionality, which the model does not value as separate cash-flow streams.</t>
  </si>
  <si>
    <t>Current Share Price (valuation-date close)</t>
  </si>
  <si>
    <t>$/share</t>
  </si>
  <si>
    <t>millions</t>
  </si>
  <si>
    <t>Risk-Free Rate (10-Yr US Treasury)</t>
  </si>
  <si>
    <t>Beta (Levered)</t>
  </si>
  <si>
    <t>Equity Risk Premium</t>
  </si>
  <si>
    <t>Pre-Tax Cost of Debt</t>
  </si>
  <si>
    <t>Terminal Growth Rate</t>
  </si>
  <si>
    <t>Valuation Date (market data as of)</t>
  </si>
  <si>
    <t>date</t>
  </si>
  <si>
    <t>SCENARIO ASSUMPTIONS — BEAR / BASE / BULL</t>
  </si>
  <si>
    <t>The eleven drivers below are the value-relevant operating assumptions. The active case is set by the selector in the header row and is highlighted. Working capital, depreciation, financing, tax, equity and valuation inputs are common to all three cases — the framework tests operating performance, not the financing build.</t>
  </si>
  <si>
    <t>Vehicle Delivery Growth %</t>
  </si>
  <si>
    <t>Automotive ASP Growth %</t>
  </si>
  <si>
    <t>Not scenario-tested (common to all cases): receivable / inventory / payable days, other current and non-current asset and liability ratios, deferred revenue, depreciation rate, debt and interest, tax rate, share count, and every valuation input. Varying them would confound operating performance with financing and balance-sheet policy.</t>
  </si>
  <si>
    <t>REVENUE BUILD-UP</t>
  </si>
  <si>
    <t>USD millions except per-share and operating data</t>
  </si>
  <si>
    <t>Vehicle Deliveries</t>
  </si>
  <si>
    <t>Implied Automotive Revenue per Delivery</t>
  </si>
  <si>
    <t>Automotive Sales &amp; Leasing Revenue</t>
  </si>
  <si>
    <t>[+] Automotive Regulatory Credits</t>
  </si>
  <si>
    <t>Total Automotive Revenue</t>
  </si>
  <si>
    <t>Energy Generation &amp; Storage Revenue</t>
  </si>
  <si>
    <t>Services &amp; Other Revenue</t>
  </si>
  <si>
    <t>TOTAL REVENUE</t>
  </si>
  <si>
    <t>YoY Growth %</t>
  </si>
  <si>
    <t>ENERGY OPERATING CROSS-CHECK — STORAGE DEPLOYMENTS (CONTEXT, NOT A FORECAST DRIVER)</t>
  </si>
  <si>
    <t>Energy Storage Deployed</t>
  </si>
  <si>
    <t>GWh</t>
  </si>
  <si>
    <t>Implied Energy Revenue per GWh Deployed</t>
  </si>
  <si>
    <t>$M/GWh</t>
  </si>
  <si>
    <t>Implied Deployments at Forecast Revenue — $/GWh held flat</t>
  </si>
  <si>
    <t>Implied Deployments at Forecast Revenue — $/GWh falling 10% p.a.</t>
  </si>
  <si>
    <t>Deployments are Tesla's disclosed annual energy-storage figures (FY2021A–FY2025A). Revenue per GWh is a blended segment metric — the Energy segment also contains solar — and it has fallen every year, so it is used here as a plausibility cross-check on the revenue forecast, not as a forecast driver. Rows 24–25 show the deployment volumes the Base Case revenue implies under two $/GWh paths; both are a multiple of FY2025A, which is the growth the Energy assumption embeds. Tesla does not disclose a stable storage-only price or mix, so no revenue-per-GWh forecast is built. Sources: see Sources &amp; Notes.</t>
  </si>
  <si>
    <t>COST BUILD-UP</t>
  </si>
  <si>
    <t>Automotive Revenue</t>
  </si>
  <si>
    <t>Automotive Cost of Revenue</t>
  </si>
  <si>
    <t>Energy Revenue</t>
  </si>
  <si>
    <t>Energy Cost of Revenue</t>
  </si>
  <si>
    <t>Services Cost of Revenue</t>
  </si>
  <si>
    <t>TOTAL COST OF REVENUE</t>
  </si>
  <si>
    <t>OPERATING EXPENSES</t>
  </si>
  <si>
    <t>Research &amp; Development</t>
  </si>
  <si>
    <t>Selling, General &amp; Administrative</t>
  </si>
  <si>
    <t>Restructuring &amp; Other</t>
  </si>
  <si>
    <t>Total Operating Expenses</t>
  </si>
  <si>
    <t>INCOME STATEMENT</t>
  </si>
  <si>
    <t>REVENUE</t>
  </si>
  <si>
    <t>COST OF REVENUE</t>
  </si>
  <si>
    <t>Total Cost of Revenue</t>
  </si>
  <si>
    <t>GROSS PROFIT</t>
  </si>
  <si>
    <t>Gross Margin %</t>
  </si>
  <si>
    <t>EBIT (Operating Income)</t>
  </si>
  <si>
    <t>EBIT Margin %</t>
  </si>
  <si>
    <t>[+] Depreciation &amp; Amortization</t>
  </si>
  <si>
    <t>EBITDA</t>
  </si>
  <si>
    <t>EBITDA Margin %</t>
  </si>
  <si>
    <t>NON-OPERATING ITEMS</t>
  </si>
  <si>
    <t>[+] Interest Income</t>
  </si>
  <si>
    <t>[-] Interest Expense</t>
  </si>
  <si>
    <t>[+/-] Other Income (Expense), net</t>
  </si>
  <si>
    <t>PBT (Income Before Taxes)</t>
  </si>
  <si>
    <t>PBT Margin %</t>
  </si>
  <si>
    <t>[-] Income Tax Expense</t>
  </si>
  <si>
    <t>Effective Tax Rate %</t>
  </si>
  <si>
    <t>NET INCOME</t>
  </si>
  <si>
    <t>Net Margin %</t>
  </si>
  <si>
    <t>[-] Net Income Attributable to Noncontrolling Interests</t>
  </si>
  <si>
    <t>NET INCOME ATTRIBUTABLE TO COMMON STOCKHOLDERS</t>
  </si>
  <si>
    <t>Diluted Weighted-Average Shares Outstanding</t>
  </si>
  <si>
    <t>Diluted EPS</t>
  </si>
  <si>
    <t>BALANCE SHEET</t>
  </si>
  <si>
    <t>ASSETS</t>
  </si>
  <si>
    <t>Cash and Cash Equivalents</t>
  </si>
  <si>
    <t>[+] Accounts Receivable</t>
  </si>
  <si>
    <t>[+] Inventory</t>
  </si>
  <si>
    <t>Short-Term Investments &amp; Other Current Assets</t>
  </si>
  <si>
    <t>Total Current Assets</t>
  </si>
  <si>
    <t>Net PP&amp;E</t>
  </si>
  <si>
    <t>[+] Operating Lease ROU Assets</t>
  </si>
  <si>
    <t>[+] Other Non-Current Assets</t>
  </si>
  <si>
    <t>TOTAL ASSETS</t>
  </si>
  <si>
    <t>LIABILITIES</t>
  </si>
  <si>
    <t>Accounts Payable</t>
  </si>
  <si>
    <t>[+] Accrued Liabilities &amp; Other</t>
  </si>
  <si>
    <t>[+] Deferred Revenue (Current)</t>
  </si>
  <si>
    <t>[+] Current Portion of Debt</t>
  </si>
  <si>
    <t>Total Current Liabilities</t>
  </si>
  <si>
    <t>Long-Term Debt</t>
  </si>
  <si>
    <t>[+] Deferred Revenue (Non-Current)</t>
  </si>
  <si>
    <t>[+] Other Non-Current Liabilities</t>
  </si>
  <si>
    <t>TOTAL LIABILITIES</t>
  </si>
  <si>
    <t>STOCKHOLDERS' EQUITY</t>
  </si>
  <si>
    <t>Common Stock &amp; Additional Paid-in Capital</t>
  </si>
  <si>
    <t>[+] Accumulated Other Comprehensive Income</t>
  </si>
  <si>
    <t>[+] Retained Earnings</t>
  </si>
  <si>
    <t>[+] Noncontrolling Interests</t>
  </si>
  <si>
    <t>TOTAL EQUITY</t>
  </si>
  <si>
    <t>TOTAL LIABILITIES &amp; EQUITY</t>
  </si>
  <si>
    <t>Balance Check (Assets − Liabilities &amp; Equity)</t>
  </si>
  <si>
    <t>Balance Check Status</t>
  </si>
  <si>
    <t>ASSET SCHEDULE</t>
  </si>
  <si>
    <t>PROPERTY, PLANT &amp; EQUIPMENT (NET)</t>
  </si>
  <si>
    <t>Opening Net PP&amp;E</t>
  </si>
  <si>
    <t>[+] Capital Expenditure</t>
  </si>
  <si>
    <t>[-] Depreciation &amp; Amortization</t>
  </si>
  <si>
    <t>[+/-] Other Adjustments, net (hist. only)</t>
  </si>
  <si>
    <t>Closing Net PP&amp;E</t>
  </si>
  <si>
    <t>DEBT SCHEDULE</t>
  </si>
  <si>
    <t>Opening Total Debt (Current + Long-Term)</t>
  </si>
  <si>
    <t>[+/-] Net Borrowings / (Repayments)</t>
  </si>
  <si>
    <t>Closing Total Debt</t>
  </si>
  <si>
    <t>Interest Expense</t>
  </si>
  <si>
    <t>OTHER INCOME (RETURN ON CASH &amp; INVESTMENTS)</t>
  </si>
  <si>
    <t>Cash &amp; Short-Term Investments (interest-income basis)</t>
  </si>
  <si>
    <t>Interest Income</t>
  </si>
  <si>
    <t>TAX SCHEDULE</t>
  </si>
  <si>
    <t>Income Tax Expense</t>
  </si>
  <si>
    <t>Implied Effective Tax Rate %</t>
  </si>
  <si>
    <t>EQUITY SCHEDULE</t>
  </si>
  <si>
    <t>Opening Total Equity</t>
  </si>
  <si>
    <t>[+] Net Income</t>
  </si>
  <si>
    <t>[+] Stock-Based Comp &amp; Net Equity Issuance</t>
  </si>
  <si>
    <t>[-] Dividends Paid</t>
  </si>
  <si>
    <t>[+/-] Other Comprehensive Income &amp; Adjustments</t>
  </si>
  <si>
    <t>Closing Total Equity</t>
  </si>
  <si>
    <t>SHARES OUTSTANDING</t>
  </si>
  <si>
    <t>CASH FLOW STATEMENT</t>
  </si>
  <si>
    <t>CASH FLOW FROM OPERATING ACTIVITIES</t>
  </si>
  <si>
    <t>Net Income</t>
  </si>
  <si>
    <t>[+] Stock-Based Compensation (non-cash, incl. in Equity)</t>
  </si>
  <si>
    <t>[+/-] Change in Deferred Revenue (Curr + Non-Curr)</t>
  </si>
  <si>
    <t>Change in Working Capital:</t>
  </si>
  <si>
    <t>[-] Increase in Accounts Receivable</t>
  </si>
  <si>
    <t>[-] Increase in Inventory &amp; Operating Lease Vehicles</t>
  </si>
  <si>
    <t>[-] Increase in Other Current Assets</t>
  </si>
  <si>
    <t>[+/-] Change in Accounts Payable &amp; Accrued Liabilities</t>
  </si>
  <si>
    <t>[+/-] Other Non-Cash Operating Adjustments, net</t>
  </si>
  <si>
    <t>[+] Increase in Other Non-Current Assets/Liab, net</t>
  </si>
  <si>
    <t>Net Change in Working Capital</t>
  </si>
  <si>
    <t>CASH FLOW FROM OPERATIONS</t>
  </si>
  <si>
    <t>CASH FLOW FROM INVESTING ACTIVITIES</t>
  </si>
  <si>
    <t>[-] Capital Expenditure</t>
  </si>
  <si>
    <t>CASH FLOW FROM INVESTING</t>
  </si>
  <si>
    <t>CASH FLOW FROM FINANCING ACTIVITIES</t>
  </si>
  <si>
    <t>[+/-] Other Financing Activities, FX Effect &amp; Restricted Cash Reclass, net (hist. only)</t>
  </si>
  <si>
    <t>CASH FLOW FROM FINANCING</t>
  </si>
  <si>
    <t>Net Change in Cash</t>
  </si>
  <si>
    <t>[+] Opening Cash &amp; Cash Equivalents</t>
  </si>
  <si>
    <t>Closing Cash &amp; Cash Equivalents</t>
  </si>
  <si>
    <t>Cash Check (Closing Cash − BS Cash)</t>
  </si>
  <si>
    <t>RATIO ANALYSIS</t>
  </si>
  <si>
    <t>Ratios are dimensionless unless stated otherwise</t>
  </si>
  <si>
    <t>PROFITABILITY MARGINS</t>
  </si>
  <si>
    <t>EBITDA Margin</t>
  </si>
  <si>
    <t>EBIT Margin</t>
  </si>
  <si>
    <t>PBT Margin</t>
  </si>
  <si>
    <t>Net Income (PAT) Margin</t>
  </si>
  <si>
    <t>GROWTH RATES (YoY)</t>
  </si>
  <si>
    <t>Revenue Growth</t>
  </si>
  <si>
    <t>EBITDA Growth</t>
  </si>
  <si>
    <t>EBIT Growth</t>
  </si>
  <si>
    <t>PBT Growth</t>
  </si>
  <si>
    <t>Net Income Growth</t>
  </si>
  <si>
    <t>COST STRUCTURE (% OF REVENUE)</t>
  </si>
  <si>
    <t>Cost of Revenue / Sales</t>
  </si>
  <si>
    <t>R&amp;D / Sales</t>
  </si>
  <si>
    <t>SG&amp;A / Sales</t>
  </si>
  <si>
    <t>LIQUIDITY RATIOS</t>
  </si>
  <si>
    <t>Current Ratio</t>
  </si>
  <si>
    <t>Quick Ratio</t>
  </si>
  <si>
    <t>RETURN RATIOS</t>
  </si>
  <si>
    <t>ROE (Return on Closing Equity)</t>
  </si>
  <si>
    <t>ROAE (Return on Average Equity)</t>
  </si>
  <si>
    <t>LEVERAGE RATIOS</t>
  </si>
  <si>
    <t>Debt / Equity</t>
  </si>
  <si>
    <t>Debt / EBITDA</t>
  </si>
  <si>
    <t>Interest Coverage (EBIT / Interest Exp.)</t>
  </si>
  <si>
    <t>CHART SOURCE DATA — PROFITABILITY MARGIN TREND (live links; A and E split so the chart breaks cleanly at FY2025A)</t>
  </si>
  <si>
    <t>Series</t>
  </si>
  <si>
    <t>Gross Margin</t>
  </si>
  <si>
    <t>Net Margin</t>
  </si>
  <si>
    <t>Gross Margin (Forecast)</t>
  </si>
  <si>
    <t>EBITDA Margin (Forecast)</t>
  </si>
  <si>
    <t>EBIT Margin (Forecast)</t>
  </si>
  <si>
    <t>Net Margin (Forecast)</t>
  </si>
  <si>
    <t>FY2025A appears in both the actual and the forecast series so the lines join; every other out-of-period cell returns #N/A, which Excel does not plot (no false drop to zero).</t>
  </si>
  <si>
    <t>COMPARABLE COMPANY ANALYSIS</t>
  </si>
  <si>
    <t>USD $ millions except share price, per-share and multiple data  |  MARKET DATA AS OF: SEPTEMBER 3, 2026 CLOSE  |  Convention: TTM (trailing twelve months, ended Jun 30, 2026) for BOTH peers and Tesla -- see period-consistency note below</t>
  </si>
  <si>
    <t>PEER GROUP SELECTION &amp; RATIONALE</t>
  </si>
  <si>
    <t>Tesla combines large-scale EV/automotive manufacturing, an EV-battery-technology cost base, and a fast-growing energy storage business -- there is no single publicly traded company with an identical mix. The peer group below was built, not assumed: pure-play EV manufacturers provide the closest business-model match; two large-scale global automakers are included only as scale/margin reference points for Tesla's now-mature automotive segment, not because they "make vehicles."</t>
  </si>
  <si>
    <t>BYD Company Ltd. (BYDDY)</t>
  </si>
  <si>
    <t>The closest true business-model analog to Tesla: the world's largest EV manufacturer by volume AND a vertically integrated battery/energy-storage manufacturer (LFP cells, Blade Battery, grid storage) -- the same auto+battery+energy combination Tesla has.</t>
  </si>
  <si>
    <t>Rivian Automotive (RIVN)</t>
  </si>
  <si>
    <t>US-listed pure-play EV manufacturer (trucks/SUVs) at a similar stage of scaling manufacturing; useful growth-stage EV comp, though pre-profitability.</t>
  </si>
  <si>
    <t>Lucid Group (LCID)</t>
  </si>
  <si>
    <t>US-listed pure-play luxury EV manufacturer with in-house battery/powertrain technology; direct US EV-technology comp, though at an earlier revenue scale than Tesla.</t>
  </si>
  <si>
    <t>NIO Inc. (NIO)</t>
  </si>
  <si>
    <t>Chinese EV manufacturer that also operates its own battery-swap energy infrastructure network -- a genuine (if smaller) analog to Tesla's combined vehicle + energy-service model.</t>
  </si>
  <si>
    <t>Li Auto Inc. (LI)</t>
  </si>
  <si>
    <t>Chinese EV/EREV manufacturer, one of the few China EV makers with a track record of full-year profitability; included for margin/scale contrast within the China EV cohort.</t>
  </si>
  <si>
    <t>General Motors (GM)</t>
  </si>
  <si>
    <t>Global-scale automaker included ONLY as a scale and margin reference for Tesla's mature automotive segment (revenue base and manufacturing scale of a similar order of magnitude); GM's EV unit economics and BEV mix are explicitly not the comparison basis. Note: GM's Enterprise Value includes GM Financial's captive auto-lending debt, which mechanically inflates its EV-based multiples relative to an auto-manufacturing-only peer -- read GM's EV/Revenue and EV/EBITDA with that in mind.</t>
  </si>
  <si>
    <t>Ford Motor Company (F)</t>
  </si>
  <si>
    <t>Included on the same scale/margin reference basis as GM -- a large-cap global automaker of comparable revenue scale -- not for EV-mix comparability. Same captive-finance EV caveat as GM (Ford Credit).</t>
  </si>
  <si>
    <t>Deliberately EXCLUDED: Toyota, Volkswagen, Stellantis, Hyundai and other large diversified global OEMs (EV is a small fraction of their revenue/earnings mix, making a blended multiple uninformative for Tesla); XPeng and Zeekr (excluded only to keep the China-EV cohort to two names alongside NIO/Li Auto and avoid double-weighting one geography); pure battery-cell manufacturers such as CATL and Panasonic Energy (they sell to automakers rather than being vertically integrated vehicle OEMs, a different business model from Tesla's).</t>
  </si>
  <si>
    <t>PEER TRADING DATA &amp; MULTIPLES (TTM ended ~Jun 30, 2026; priced at Sep 3, 2026 close)</t>
  </si>
  <si>
    <t>Company</t>
  </si>
  <si>
    <t>Ticker</t>
  </si>
  <si>
    <t>Share Price</t>
  </si>
  <si>
    <t>Market Cap</t>
  </si>
  <si>
    <t>Enterprise Value</t>
  </si>
  <si>
    <t>Revenue</t>
  </si>
  <si>
    <t>EBIT</t>
  </si>
  <si>
    <t>Book Value</t>
  </si>
  <si>
    <t>EV/Rev</t>
  </si>
  <si>
    <t>EV/EBITDA</t>
  </si>
  <si>
    <t>EV/EBIT</t>
  </si>
  <si>
    <t>P/E</t>
  </si>
  <si>
    <t>P/B</t>
  </si>
  <si>
    <t>EBITDA margin</t>
  </si>
  <si>
    <t>EBIT margin</t>
  </si>
  <si>
    <t>BYD Company Ltd.</t>
  </si>
  <si>
    <t>BYDDY</t>
  </si>
  <si>
    <t>Rivian Automotive</t>
  </si>
  <si>
    <t>RIVN</t>
  </si>
  <si>
    <t>Lucid Group</t>
  </si>
  <si>
    <t>LCID</t>
  </si>
  <si>
    <t>NIO Inc.</t>
  </si>
  <si>
    <t>NIO</t>
  </si>
  <si>
    <t>Li Auto Inc.</t>
  </si>
  <si>
    <t>LI</t>
  </si>
  <si>
    <t>General Motors</t>
  </si>
  <si>
    <t>GM</t>
  </si>
  <si>
    <t>Ford Motor Company</t>
  </si>
  <si>
    <t>F</t>
  </si>
  <si>
    <t>▌ Rows 17–21 — growth / EV-oriented pure-play EV peers (BYDDY, RIVN, LCID, NIO, LI): the business-model comparison set.        ▌ Rows 22–23 — traditional automotive scale references (GM, F): included for revenue-scale and margin context only, and their EV multiples are inflated by captive-finance debt. Percentile statistics span all seven peers, as in the original methodology. EBITDA and EBIT margins are derived from the sourced peer financials; revenue growth and forward (NTM) multiples are not shown because comparable-period prior-year revenue and consensus estimates were not independently sourced for this workbook.</t>
  </si>
  <si>
    <t>PEER STATISTICS (excludes Tesla)</t>
  </si>
  <si>
    <t>Minimum</t>
  </si>
  <si>
    <t>25th Percentile</t>
  </si>
  <si>
    <t>Median</t>
  </si>
  <si>
    <t>75th Percentile</t>
  </si>
  <si>
    <t>Maximum</t>
  </si>
  <si>
    <t>TESLA, INC. (TARGET) -- TTM basis, ended Jun 30, 2026 (period-consistent with peers)</t>
  </si>
  <si>
    <t>Tesla, Inc.</t>
  </si>
  <si>
    <t>TSLA</t>
  </si>
  <si>
    <t>Current Common Shares Outstanding (millions)</t>
  </si>
  <si>
    <t>[+] Cash &amp; Short-Term Investments (Q2 2026, 10-Q)</t>
  </si>
  <si>
    <t>[-] Total Debt &amp; Finance Leases (Q2 2026 10-Q: $1,418M current + $7,924M non-current)</t>
  </si>
  <si>
    <t>[-] Noncontrolling Interests (Q2 2026, 10-Q)</t>
  </si>
  <si>
    <t>TESLA IMPLIED VALUATION FROM COMPARABLES (TTM basis, Sep 3, 2026)</t>
  </si>
  <si>
    <t>Multiple</t>
  </si>
  <si>
    <t>Tesla Metric (TTM)</t>
  </si>
  <si>
    <t>Implied EV / Equity Value</t>
  </si>
  <si>
    <t>Implied Share Price</t>
  </si>
  <si>
    <t>1. EV / REVENUE</t>
  </si>
  <si>
    <t>Peer 25th Pctl EV/Revenue</t>
  </si>
  <si>
    <t>Source: Tesla TTM Revenue (sourced above)</t>
  </si>
  <si>
    <t>[+] Cash &amp; Short-Term Investments (TTM)</t>
  </si>
  <si>
    <t>[-] Total Debt (TTM)</t>
  </si>
  <si>
    <t>[-] Noncontrolling Interests (TTM)</t>
  </si>
  <si>
    <t>Implied Equity Value</t>
  </si>
  <si>
    <t>÷ Current Common Shares Outstanding</t>
  </si>
  <si>
    <t>Peer Median EV/Revenue</t>
  </si>
  <si>
    <t>Peer 75th Pctl EV/Revenue</t>
  </si>
  <si>
    <t>2. EV / EBITDA</t>
  </si>
  <si>
    <t>Peer 25th Pctl EV/EBITDA</t>
  </si>
  <si>
    <t>Source: Tesla TTM EBITDA (sourced above)</t>
  </si>
  <si>
    <t>Peer Median EV/EBITDA</t>
  </si>
  <si>
    <t>Peer 75th Pctl EV/EBITDA</t>
  </si>
  <si>
    <t>3. P / E  (direct to equity value -- no EV bridge)</t>
  </si>
  <si>
    <t>Peer 25th Pctl P/E</t>
  </si>
  <si>
    <t>Source: Tesla TTM Net Income to Common (sourced above)</t>
  </si>
  <si>
    <t>Implied Equity Value (= P/E x Net Income, no EV bridge)</t>
  </si>
  <si>
    <t>Peer Median P/E</t>
  </si>
  <si>
    <t>Peer 75th Pctl P/E</t>
  </si>
  <si>
    <t>COMBINED COMPARABLE COMPANY IMPLIED VALUATION RANGE</t>
  </si>
  <si>
    <t>Basis</t>
  </si>
  <si>
    <t>EV/Revenue-implied</t>
  </si>
  <si>
    <t>EV/EBITDA-implied</t>
  </si>
  <si>
    <t>P/E-implied</t>
  </si>
  <si>
    <t>Combined (avg. of 3)</t>
  </si>
  <si>
    <t>LOW (25th percentile)</t>
  </si>
  <si>
    <t>BASE (median)</t>
  </si>
  <si>
    <t>HIGH (75th percentile)</t>
  </si>
  <si>
    <t>PRECEDENT TRANSACTION ANALYSIS</t>
  </si>
  <si>
    <t>USD $ millions.  Transaction values and dates sourced from official company announcements / press releases (cited per row). This methodology is explicitly a SECONDARY, qualitative cross-check for Tesla -- see the limitation note below.</t>
  </si>
  <si>
    <t>TRANSACTIONS</t>
  </si>
  <si>
    <t>Target</t>
  </si>
  <si>
    <t>Acquirer</t>
  </si>
  <si>
    <t>Announced</t>
  </si>
  <si>
    <t>Transaction Value ($M)</t>
  </si>
  <si>
    <t>Target LTM Revenue</t>
  </si>
  <si>
    <t>Target LTM EBITDA</t>
  </si>
  <si>
    <t>EV/Revenue</t>
  </si>
  <si>
    <t>Rationale / Relevance to Tesla</t>
  </si>
  <si>
    <t>Zoox, Inc.</t>
  </si>
  <si>
    <t>Amazon.com, Inc.</t>
  </si>
  <si>
    <t>Jun 26, 2020</t>
  </si>
  <si>
    <t>N/A</t>
  </si>
  <si>
    <t>Autonomous-vehicle / robotaxi technology developer -- directly relevant to Tesla's own Full Self-Driving and robotaxi ambitions; illustrates market-clearing prices for AV technology platforms.</t>
  </si>
  <si>
    <t>Cruise LLC (SoftBank Vision Fund's stake)</t>
  </si>
  <si>
    <t>General Motors Company</t>
  </si>
  <si>
    <t>Announced Nov 2021 / Closed Mar 2022</t>
  </si>
  <si>
    <t>GM's purchase of SoftBank's ownership stake in its robotaxi/autonomous-mobility subsidiary Cruise -- a direct precedent for the market value assigned to an autonomous-mobility platform bundled inside a large automaker, structurally the closest analog to how the market might value Tesla's own FSD/robotaxi program.</t>
  </si>
  <si>
    <t>Lordstown Motors Corp. (Ohio manufacturing plant &amp; equipment)</t>
  </si>
  <si>
    <t>Hon Hai Technology Group (Foxconn)</t>
  </si>
  <si>
    <t>May 11, 2022</t>
  </si>
  <si>
    <t>Sale of a purpose-built EV manufacturing plant by an early-stage EV startup -- a direct precedent for the value of dedicated EV production capacity/assets, relevant context for Tesla's own Gigafactory capital base.</t>
  </si>
  <si>
    <t>AKASOL AG</t>
  </si>
  <si>
    <t>BorgWarner Inc.</t>
  </si>
  <si>
    <t>Announced Dec 2021 / Completed Feb 2022</t>
  </si>
  <si>
    <t>Acquisition of a European commercial-vehicle EV battery-systems manufacturer. BorgWarner's announcement valued 100% of AKASOL equity at ~€727M; converted to ~US$882M using 15-Feb-2021 EUR/USD of 1.2132 for consistency with this sheet's USD $M presentation.</t>
  </si>
  <si>
    <t>Boston Dynamics</t>
  </si>
  <si>
    <t>Hyundai Motor Group (from SoftBank Group)</t>
  </si>
  <si>
    <t>Announced Dec 2020 / Closed Jun 2021</t>
  </si>
  <si>
    <t>Acquisition of a leading advanced-robotics company by a global automaker -- the closest available precedent for how the market values a robotics platform bundled inside an automotive manufacturer, directly relevant to Tesla's own Optimus humanoid-robot program.</t>
  </si>
  <si>
    <t>SUMMARY STATISTICS</t>
  </si>
  <si>
    <t>All five transactions above show N/A for target LTM Revenue and LTM EBITDA (pre-scale / early-stage / privately-held targets with no reliably disclosed, comparable-period financials), so there are zero valid EV/Revenue or EV/EBITDA observations from which to compute Minimum / 25th Percentile / Median / 75th Percentile / Maximum. Per the assignment's own guidance, no valuation range is forced here. Precedent Transaction Analysis is NOT used to imply a Tesla valuation and is excluded from the weighted Valuation Summary on the Valuation sheet -- it is retained solely as qualitative, deal-value-in-context evidence.</t>
  </si>
  <si>
    <t>Deal Value ($M)</t>
  </si>
  <si>
    <t>Deal-value range shown for context only (not an EV/Revenue or EV/EBITDA-based valuation range): these five deal values span roughly two orders of magnitude ($230M-$2,100M) reflecting very different target sizes and deal structures (asset sale vs. controlling-stake purchase vs. outright acquisition) -- they are not a Tesla enterprise-value range and should not be read as one.</t>
  </si>
  <si>
    <t>VALUATION — DCF, SENSITIVITY &amp; SUMMARY</t>
  </si>
  <si>
    <t>INPUT SOURCE AND BASIS</t>
  </si>
  <si>
    <t>Input — 10-year US Treasury constant-maturity yield at the valuation date.  Source: see Sources &amp; Notes.</t>
  </si>
  <si>
    <t>Input — levered beta at the valuation date.  Source: see Sources &amp; Notes.</t>
  </si>
  <si>
    <t>Input — mature-market equity risk premium at the valuation date.  Source: see Sources &amp; Notes.</t>
  </si>
  <si>
    <t>Cost of Equity (CAPM)</t>
  </si>
  <si>
    <t>Calculated — CAPM:  risk-free rate + levered beta × equity risk premium.</t>
  </si>
  <si>
    <t>Input — pre-tax cost of debt at the valuation date.  Source: see Sources &amp; Notes.</t>
  </si>
  <si>
    <t>Tax Rate (for Cost of Debt Tax Shield)</t>
  </si>
  <si>
    <t>Link — normalised tax rate, Assumptions!L49.</t>
  </si>
  <si>
    <t>Post-Tax Cost of Debt</t>
  </si>
  <si>
    <t>Calculated — pre-tax cost of debt × (1 − tax rate).</t>
  </si>
  <si>
    <t>Total Debt (Market Value Proxy)</t>
  </si>
  <si>
    <t>Link — FY2025A closing total debt, Loans &amp; Other Income!K8 (book value used as a market proxy).</t>
  </si>
  <si>
    <t>Equity Value (Market Cap = Price × Diluted Shares)</t>
  </si>
  <si>
    <t>Calculated — market capitalisation = Assumptions!G56 × Assumptions!G57 at the valuation date.</t>
  </si>
  <si>
    <t>Total Capital (Debt + Equity)</t>
  </si>
  <si>
    <t>Calculated — debt + equity at market values.</t>
  </si>
  <si>
    <t>Weight of Debt</t>
  </si>
  <si>
    <t>Calculated — debt ÷ total capital.</t>
  </si>
  <si>
    <t>Weight of Equity</t>
  </si>
  <si>
    <t>Calculated — equity ÷ total capital.</t>
  </si>
  <si>
    <t>Calculated — weight of debt × post-tax cost of debt + weight of equity × cost of equity.</t>
  </si>
  <si>
    <t>Link — terminal growth rate, Assumptions!G62.</t>
  </si>
  <si>
    <t>FREE CASH FLOW TO THE FIRM (FCFF)</t>
  </si>
  <si>
    <t>[-] Tax on EBIT (at Assumptions tax rate)</t>
  </si>
  <si>
    <t>NOPAT = EBIT × (1 − Tax Rate)</t>
  </si>
  <si>
    <t>[-] Increase in Net Working Capital</t>
  </si>
  <si>
    <t>Memo: FY2025A Actual Short-Term Investments (10-K Balance Sheet, $M) - excluded from operating NWC</t>
  </si>
  <si>
    <t>Memo: FY2025A Actual Prepaid Expenses &amp; Other Current Assets (10-K Balance Sheet, $M) - the operating portion of BS row 13</t>
  </si>
  <si>
    <t>TERMINAL VALUATION</t>
  </si>
  <si>
    <t>FY2030E Free Cash Flow to the Firm (FCFF)</t>
  </si>
  <si>
    <t>Terminal FCFF = FY2030E FCFF × (1 + Terminal Growth Rate)</t>
  </si>
  <si>
    <t>TERMINAL VALUE = Terminal FCFF ÷ (WACC − Terminal Growth Rate)</t>
  </si>
  <si>
    <t>DISCOUNTING</t>
  </si>
  <si>
    <t>Discount Period (Years)</t>
  </si>
  <si>
    <t>Discount Factor</t>
  </si>
  <si>
    <t>ENTERPRISE VALUE</t>
  </si>
  <si>
    <t>PV of Forecast FCFF</t>
  </si>
  <si>
    <t>[+] PV of Terminal Value</t>
  </si>
  <si>
    <t>Terminal Value as % of Enterprise Value (memo)</t>
  </si>
  <si>
    <t>ENTERPRISE VALUE TO EQUITY VALUE BRIDGE</t>
  </si>
  <si>
    <t>[+] Cash &amp; Short-Term Investments (FY2025A)</t>
  </si>
  <si>
    <t>[-] Total Debt (FY2025A)</t>
  </si>
  <si>
    <t>[-] Noncontrolling Interests (FY2025A)</t>
  </si>
  <si>
    <t>EQUITY VALUE</t>
  </si>
  <si>
    <t>IMPLIED VALUE PER SHARE</t>
  </si>
  <si>
    <t>Implied Value per Share</t>
  </si>
  <si>
    <t>Current Share Price (valuation date)</t>
  </si>
  <si>
    <t>Implied Upside / (Downside)</t>
  </si>
  <si>
    <t>Single market-price source: Assumptions!G56 ($376.37, 3 September 2026 close). It drives the WACC market-value weights, the Comparable Companies market capitalisation, the valuation summary and the football field.</t>
  </si>
  <si>
    <t>SENSITIVITY ANALYSIS</t>
  </si>
  <si>
    <t>WACC × Terminal Growth Rate sensitivity — identical WACC and TGR ranges in both tables; base case (WACC = F17, TGR = F18) highlighted in Tesla red.</t>
  </si>
  <si>
    <t>ON ENTERPRISE VALUE ($M)</t>
  </si>
  <si>
    <t>WACC ↓</t>
  </si>
  <si>
    <t>TERMINAL GROWTH RATE  →</t>
  </si>
  <si>
    <t>READING THE SENSITIVITY</t>
  </si>
  <si>
    <t>Base case — WACC × terminal growth</t>
  </si>
  <si>
    <t>Low end of the sensitivity range</t>
  </si>
  <si>
    <t>High end of the sensitivity range</t>
  </si>
  <si>
    <t>High end vs. current market price</t>
  </si>
  <si>
    <t>ON SHARE PRICE ($/share)</t>
  </si>
  <si>
    <t>READING THE DIRECTION</t>
  </si>
  <si>
    <t>Higher WACC</t>
  </si>
  <si>
    <t>↓  lower present value of every cash flow</t>
  </si>
  <si>
    <t>Higher terminal growth</t>
  </si>
  <si>
    <t>↑  higher terminal value, which is 73% of EV</t>
  </si>
  <si>
    <t>Across the whole WACC × terminal-growth grid the implied share price stays far below the market price, so the valuation conclusion does not depend on any single discount-rate or terminal-growth choice.</t>
  </si>
  <si>
    <t>VALUATION SUMMARY</t>
  </si>
  <si>
    <t>Base / Mid</t>
  </si>
  <si>
    <t>Implied Share Price Range</t>
  </si>
  <si>
    <t>1. Discounted Cash Flow (DCF)</t>
  </si>
  <si>
    <t>2. Comparable Company Analysis</t>
  </si>
  <si>
    <t>3. Precedent Transaction Analysis</t>
  </si>
  <si>
    <t xml:space="preserve"> Secondary cross-check — limited direct comparability</t>
  </si>
  <si>
    <t>4. Current Tesla Market Price</t>
  </si>
  <si>
    <t>FOOTBALL-FIELD CHART SOURCE — live links, feeds the Model Summary chart (do not overwrite)</t>
  </si>
  <si>
    <t>Base (invisible)</t>
  </si>
  <si>
    <t>Low → Base</t>
  </si>
  <si>
    <t>Base marker</t>
  </si>
  <si>
    <t>Base → High</t>
  </si>
  <si>
    <t>Marker half-width</t>
  </si>
  <si>
    <t>DCF</t>
  </si>
  <si>
    <t>Bars are drawn on a 0–60 $/share axis so the DCF and comparable ranges keep full resolution; the market-price bar therefore runs off the plot area and is labelled as an off-scale reference.</t>
  </si>
  <si>
    <t>SUPPLEMENTARY CROSS-CHECKS — NOT THE PRIMARY VALUATION METHODOLOGY</t>
  </si>
  <si>
    <t>Both cross-checks below are diagnostics. The Gordon Growth DCF above remains the primary methodology and no averaging of the two is performed.</t>
  </si>
  <si>
    <t>A.  EXIT-MULTIPLE TERMINAL VALUE CROSS-CHECK</t>
  </si>
  <si>
    <t>Exit multiple applied to FY2030E EBITDA</t>
  </si>
  <si>
    <t>Peer 25th pctl</t>
  </si>
  <si>
    <t>Peer median</t>
  </si>
  <si>
    <t>Peer 75th pctl</t>
  </si>
  <si>
    <t>FY2030E EBITDA</t>
  </si>
  <si>
    <t>Peer EV / EBITDA multiple</t>
  </si>
  <si>
    <t>Terminal enterprise value</t>
  </si>
  <si>
    <t>× Discount factor, FY2030E</t>
  </si>
  <si>
    <t>PV of terminal value</t>
  </si>
  <si>
    <t>[+] PV of explicit FCFF, FY2026E–FY2030E</t>
  </si>
  <si>
    <t>Memo — Gordon Growth implied value per share (primary methodology)</t>
  </si>
  <si>
    <t>Memo — perpetuity growth rate embedded in the peer-median exit multiple</t>
  </si>
  <si>
    <t>B.  BETA AND CAPITAL-STRUCTURE CROSS-CHECK</t>
  </si>
  <si>
    <t>Observed levered beta</t>
  </si>
  <si>
    <t>Market value of debt</t>
  </si>
  <si>
    <t>Market value of equity</t>
  </si>
  <si>
    <t>Debt / equity at market values</t>
  </si>
  <si>
    <t>Tax rate</t>
  </si>
  <si>
    <t>Unlevered (asset) beta  =  βL ÷ (1 + (1 − t) × D/E)</t>
  </si>
  <si>
    <t>Relevered beta at the current structure (identity check)</t>
  </si>
  <si>
    <t>Memo — WACC at beta − 0.20 / observed beta / beta + 0.20</t>
  </si>
  <si>
    <t>Tesla is close to all-equity at market values, so unlevering and relevering the beta moves it by well under 1% and the WACC is effectively the cost of equity. The valuation is therefore insensitive to capital-structure assumptions and highly sensitive to beta and the equity risk premium — the WACC row of the sensitivity table above is the relevant read-out. A peer-beta cross-check is not performed: comparable-period levered betas for the peer set were not independently sourced for this workbook, and substituting an unsourced peer beta would change the valuation without improving its evidential basis.</t>
  </si>
  <si>
    <t>SCENARIO ANALYSIS — BEAR / BASE / BULL</t>
  </si>
  <si>
    <t>USD millions except per-share and operating data   ·   One integrated model: the case selected on Assumptions drives the live statements; the three build-outs below are calculated in parallel from the same driver grids</t>
  </si>
  <si>
    <t>SCENARIO OUTPUT SUMMARY</t>
  </si>
  <si>
    <t>Metric</t>
  </si>
  <si>
    <t>FY2030E Revenue</t>
  </si>
  <si>
    <t>FY2025A–FY2030E Revenue CAGR</t>
  </si>
  <si>
    <t>%</t>
  </si>
  <si>
    <t>FY2030E EBITDA Margin</t>
  </si>
  <si>
    <t>FY2030E EBIT</t>
  </si>
  <si>
    <t>FY2030E EBIT Margin</t>
  </si>
  <si>
    <t>FY2030E Net Income</t>
  </si>
  <si>
    <t>FY2030E Free Cash Flow to the Firm</t>
  </si>
  <si>
    <t>Equity Value</t>
  </si>
  <si>
    <t>DCF Implied Value / Share</t>
  </si>
  <si>
    <t>Upside / (Downside) vs Market Price</t>
  </si>
  <si>
    <t>Base column reconciles to the live model</t>
  </si>
  <si>
    <t>The Base column is calculated independently of the selector, so it can be reconciled against the live three-statement model whenever the selector is set to Base. Net interest is common to all three cases (debt is held flat, so interest expense is identical); interest income follows the live financing schedule, which is why Net Income — and only Net Income — carries a small case-independent element. Revenue, EBITDA, EBIT, FCFF and every valuation output are fully case-specific.</t>
  </si>
  <si>
    <t>BEAR CASE — OPERATING BUILD, FCFF AND DCF</t>
  </si>
  <si>
    <t>Automotive Revenue per Delivery</t>
  </si>
  <si>
    <t>Automotive Gross Profit</t>
  </si>
  <si>
    <t>Energy Gross Profit</t>
  </si>
  <si>
    <t>Services Gross Profit</t>
  </si>
  <si>
    <t>[-] Research &amp; Development</t>
  </si>
  <si>
    <t>[-] Selling, General &amp; Administrative</t>
  </si>
  <si>
    <t>[-] Depreciation &amp; Amortisation</t>
  </si>
  <si>
    <t>Net Working Capital (DCF definition)</t>
  </si>
  <si>
    <t>[+/-] Net Interest (common to all cases)</t>
  </si>
  <si>
    <t>PV of FCFF</t>
  </si>
  <si>
    <t>Sum of PV of Explicit FCFF (FY2026E–FY2030E)</t>
  </si>
  <si>
    <t>Terminal Value  =  FY2030E FCFF × (1 + g) ÷ (WACC − g)</t>
  </si>
  <si>
    <t>PV of Terminal Value</t>
  </si>
  <si>
    <t>EQUITY VALUE  =  EV + Cash − Debt − NCI</t>
  </si>
  <si>
    <t>DCF IMPLIED VALUE PER SHARE</t>
  </si>
  <si>
    <t>BASE CASE — OPERATING BUILD, FCFF AND DCF</t>
  </si>
  <si>
    <t>BULL CASE — OPERATING BUILD, FCFF AND DCF</t>
  </si>
  <si>
    <t>REVERSE DCF — MARKET-IMPLIED EXPECTATIONS</t>
  </si>
  <si>
    <t>USD millions except per-share data   ·   This sheet is NOT a forecast. It starts from the market price and asks what operating performance would be required to justify it.</t>
  </si>
  <si>
    <t>MARKET-IMPLIED ENTERPRISE VALUE</t>
  </si>
  <si>
    <t>Valuation date</t>
  </si>
  <si>
    <t>Market price per share</t>
  </si>
  <si>
    <t>Market capitalisation (equity value)</t>
  </si>
  <si>
    <t>[+] Total debt</t>
  </si>
  <si>
    <t>[+] Noncontrolling interests</t>
  </si>
  <si>
    <t>[-] Cash &amp; short-term investments</t>
  </si>
  <si>
    <t>FUNDAMENTAL BASE CASE — FOR CONTRAST</t>
  </si>
  <si>
    <t>Fundamental enterprise value (DCF, selected case)</t>
  </si>
  <si>
    <t>Fundamental equity value</t>
  </si>
  <si>
    <t>Fundamental implied value per share</t>
  </si>
  <si>
    <t>Market-implied EV ÷ fundamental EV</t>
  </si>
  <si>
    <t>x</t>
  </si>
  <si>
    <t>The expectations gap above is what the rest of this sheet decomposes.</t>
  </si>
  <si>
    <t>INDEPENDENT PARAMETERISED DCF — INPUTS</t>
  </si>
  <si>
    <t>Deliberately independent of the forecast sheets: the build below is driven only by FY2025A actuals and the parameters in this block, so it can be moved without touching the operating model. Conversion assumptions are set at the model's own long-run levels and are stated as explicit inputs rather than inherited.</t>
  </si>
  <si>
    <t>Parameter</t>
  </si>
  <si>
    <t>Value</t>
  </si>
  <si>
    <t>FY2025A revenue (actual)</t>
  </si>
  <si>
    <t>FY2025A EBIT margin (actual)</t>
  </si>
  <si>
    <t>Revenue CAGR, FY2025A–FY2030E</t>
  </si>
  <si>
    <t>FY2030E EBIT margin</t>
  </si>
  <si>
    <t>D&amp;A as % of revenue</t>
  </si>
  <si>
    <t>CapEx as % of revenue</t>
  </si>
  <si>
    <t>Increase in NWC as % of revenue increase</t>
  </si>
  <si>
    <t>Terminal growth rate</t>
  </si>
  <si>
    <t>PARAMETERISED FIVE-YEAR BUILD</t>
  </si>
  <si>
    <t>Year index (t)</t>
  </si>
  <si>
    <t>EBIT margin (linear ramp to the target)</t>
  </si>
  <si>
    <t>NOPAT = EBIT × (1 − tax)</t>
  </si>
  <si>
    <t>[+] Depreciation &amp; amortisation</t>
  </si>
  <si>
    <t>[-] Capital expenditure</t>
  </si>
  <si>
    <t>[-] Increase in net working capital</t>
  </si>
  <si>
    <t>FREE CASH FLOW TO THE FIRM</t>
  </si>
  <si>
    <t>Discount factor</t>
  </si>
  <si>
    <t>Sum of PV of explicit FCFF</t>
  </si>
  <si>
    <t>Terminal value  =  FY2030E FCFF × (1 + g) ÷ (WACC − g)</t>
  </si>
  <si>
    <t>[+] PV of terminal value</t>
  </si>
  <si>
    <t>ENTERPRISE VALUE at these parameters</t>
  </si>
  <si>
    <t>IMPLIED VALUE PER SHARE at these parameters</t>
  </si>
  <si>
    <t>Implied value ÷ market price − 1</t>
  </si>
  <si>
    <t>REQUIRED PERFORMANCE TO JUSTIFY THE MARKET PRICE</t>
  </si>
  <si>
    <t>Scaling factor required on the whole FCFF path</t>
  </si>
  <si>
    <t>Required FY2030E free cash flow to the firm</t>
  </si>
  <si>
    <t>Base Case FY2030E free cash flow to the firm</t>
  </si>
  <si>
    <t>Required FY2030E FCFF ÷ Base Case</t>
  </si>
  <si>
    <t>Required FY2030E EBIT (same conversion economics)</t>
  </si>
  <si>
    <t>→ implied FY2030E revenue if the EBIT margin stays at the input level</t>
  </si>
  <si>
    <t>→ implied FY2030E EBIT margin if revenue only reaches the Bull Case</t>
  </si>
  <si>
    <t>Enterprise value is linear in the cash-flow path, so scaling the whole path by the factor in row 58 scales enterprise value by the same factor. That makes the requirement directly readable rather than solved by trial and error.</t>
  </si>
  <si>
    <t>SENSITIVITY — REVENUE CAGR × FY2030E EBIT MARGIN</t>
  </si>
  <si>
    <t>Each cell re-runs the full five-year parameterised DCF for that pair of assumptions, holding WACC, terminal growth and the conversion assumptions constant. Cells that would land within ±10% of the market price are highlighted — if none is highlighted, no combination in the grid justifies the market price.</t>
  </si>
  <si>
    <t>CAGR ↓</t>
  </si>
  <si>
    <t>FY2030E EBIT MARGIN  →</t>
  </si>
  <si>
    <t>Base-case parameter pair outlined in Tesla red.</t>
  </si>
  <si>
    <t>PREMIUM / (DISCOUNT) VERSUS THE MARKET PRICE</t>
  </si>
  <si>
    <t>CROSS-CHECK — IMPLIED VALUE AT LOWER DISCOUNT RATES</t>
  </si>
  <si>
    <t>Base-case parameters throughout; only the discount rate changes. This tests whether the valuation gap could be a discount-rate artefact. Terminal growth is held at the model rate, so every column still satisfies WACC &gt; g.</t>
  </si>
  <si>
    <t>WACC applied</t>
  </si>
  <si>
    <t>Implied value per share at Base Case parameters</t>
  </si>
  <si>
    <t>CONCLUSION</t>
  </si>
  <si>
    <t>MODEL CHECKS</t>
  </si>
  <si>
    <t>Every check is a live formula. The four marked ▲ are mirrored on the Model Summary; the rest live here so the summary stays uncluttered.</t>
  </si>
  <si>
    <t>INTEGRITY CHECKS</t>
  </si>
  <si>
    <t>Check</t>
  </si>
  <si>
    <t>Result</t>
  </si>
  <si>
    <t>What it tests</t>
  </si>
  <si>
    <t>▲  Balance Sheet Check, FY2021A–FY2030E</t>
  </si>
  <si>
    <t>Total assets equal total liabilities and equity in all ten years, within $0.5M.</t>
  </si>
  <si>
    <t>▲  Cash Check, FY2021A–FY2030E</t>
  </si>
  <si>
    <t>Closing cash on the cash flow statement ties to balance sheet cash in all ten years.</t>
  </si>
  <si>
    <t>Retained Earnings Check (forecast)</t>
  </si>
  <si>
    <t>Closing retained earnings equal opening retained earnings plus net income, no dividends.</t>
  </si>
  <si>
    <t>Debt Schedule Check, FY2021A–FY2030E</t>
  </si>
  <si>
    <t>Current plus long-term debt on the balance sheet ties to the closing debt schedule balance.</t>
  </si>
  <si>
    <t>▲  Scenario Selector Check</t>
  </si>
  <si>
    <t>The selector holds a whole number between 1 and 3, so CHOOSE resolves on every driver row.</t>
  </si>
  <si>
    <t>▲  WACC &gt; Terminal Growth Check</t>
  </si>
  <si>
    <t>The Gordon Growth denominator is positive, so the terminal value is meaningful.</t>
  </si>
  <si>
    <t>Historical Data Completeness</t>
  </si>
  <si>
    <t>Five years of revenue, total assets, deliveries and closing cash are present as actuals.</t>
  </si>
  <si>
    <t>Forecast Formula Check</t>
  </si>
  <si>
    <t>Forecast columns still resolve from their drivers: revenue ties to the revenue build, EBIT to gross profit less operating expenses, FCFF to its components. A hardcode pasted over any of them breaks the identity.</t>
  </si>
  <si>
    <t>No External Workbook Links</t>
  </si>
  <si>
    <t>No formula references another workbook. Self-validating: shows n/a rather than a false PASS in applications without FORMULATEXT. Verified as clean at build time.</t>
  </si>
  <si>
    <t>No Formula Errors</t>
  </si>
  <si>
    <t>No #REF!, #VALUE!, #DIV/0! or #NAME? in the statements or the FCFF build.</t>
  </si>
  <si>
    <t>OVERALL</t>
  </si>
  <si>
    <t>All checks passing</t>
  </si>
  <si>
    <t>PASS when none of the 10 checks above returns FAIL.</t>
  </si>
  <si>
    <t>Tolerances: balance sheet, cash, retained earnings and debt checks use a $0.5M tolerance, which is below rounding materiality on a balance sheet of this size. The external-link and formula-error checks scan the ranges named beside them rather than the whole workbook; the chart-source block on Ratio Analysis deliberately returns #N/A outside its period and is excluded by design.</t>
  </si>
  <si>
    <t>SOURCES &amp; NOTES</t>
  </si>
  <si>
    <t>Every material external input in the workbook, with its source. Prepared for audit: a reader should be able to trace any hardcoded number back to a primary document.</t>
  </si>
  <si>
    <t>VERIFICATION STATUS</t>
  </si>
  <si>
    <t>●  Verified against the named public source at the access date shown.        ▲  Not fully primary-source verified or intentionally treated as an analyst assumption; see the row note before publication.</t>
  </si>
  <si>
    <t>Category</t>
  </si>
  <si>
    <t>Period</t>
  </si>
  <si>
    <t>Source</t>
  </si>
  <si>
    <t>Publication Date</t>
  </si>
  <si>
    <t>Access Date</t>
  </si>
  <si>
    <t>URL / Filing Reference</t>
  </si>
  <si>
    <t>Notes</t>
  </si>
  <si>
    <t>TESLA — FINANCIALS</t>
  </si>
  <si>
    <t>Income statement, all lines</t>
  </si>
  <si>
    <t>FY2021A–FY2025A</t>
  </si>
  <si>
    <t>see IS</t>
  </si>
  <si>
    <t>● Tesla 2025 Form 10-K; prior-year comparatives in Tesla annual filings</t>
  </si>
  <si>
    <t>2026</t>
  </si>
  <si>
    <t>07-Sep-2026</t>
  </si>
  <si>
    <t>https://www.sec.gov/Archives/edgar/data/1318605/000162828026003952/tsla-20251231.htm</t>
  </si>
  <si>
    <t>Verified against Tesla's FY2025 Form 10-K and comparative annual-report disclosures. Historical model values retained.</t>
  </si>
  <si>
    <t>Balance sheet, all lines</t>
  </si>
  <si>
    <t>see BS</t>
  </si>
  <si>
    <t>Verified against Tesla's FY2025 Form 10-K and comparative annual-report disclosures.</t>
  </si>
  <si>
    <t>Cash flow statement, historical lines</t>
  </si>
  <si>
    <t>see Cashflow</t>
  </si>
  <si>
    <t>Verified against Tesla's consolidated cash-flow statements; historical model values retained.</t>
  </si>
  <si>
    <t>Segment revenue: Automotive / Energy / Services</t>
  </si>
  <si>
    <t>see Revenue Build-up</t>
  </si>
  <si>
    <t>● Tesla Form 10-K revenue disclosures</t>
  </si>
  <si>
    <t>FY2025 segment revenue verified: Automotive $69,526M; Energy $12,771M; Services &amp; Other $12,530M.</t>
  </si>
  <si>
    <t>TESLA — OPERATING</t>
  </si>
  <si>
    <t>Vehicle deliveries</t>
  </si>
  <si>
    <t>see 'Revenue Build-up'!G5:K5</t>
  </si>
  <si>
    <t>● Tesla quarterly production &amp; delivery disclosures / annual totals</t>
  </si>
  <si>
    <t>2021–2026</t>
  </si>
  <si>
    <t>https://ir.tesla.com/</t>
  </si>
  <si>
    <t>Verified annual deliveries: FY2021 936,172; FY2022 1,313,851; FY2023 1,808,581; FY2024 1,789,226; FY2025 1,636,129.</t>
  </si>
  <si>
    <t>Automotive regulatory credit revenue</t>
  </si>
  <si>
    <t>see 'Revenue Build-up'!G8:K8</t>
  </si>
  <si>
    <t>● Tesla Form 10-K, automotive revenues note</t>
  </si>
  <si>
    <t>FY2025 regulatory-credit revenue verified at $1,993M; historical series retained.</t>
  </si>
  <si>
    <t>Energy storage deployed</t>
  </si>
  <si>
    <t>FY2021A</t>
  </si>
  <si>
    <t>▲ Q4 2021 quarterly update deck</t>
  </si>
  <si>
    <t>n/d</t>
  </si>
  <si>
    <t>ir.tesla.com — Quarterly Disclosures</t>
  </si>
  <si>
    <t>Used as context only, not as a forecast driver.</t>
  </si>
  <si>
    <t>FY2022A</t>
  </si>
  <si>
    <t>▲ Q4 2022 quarterly update deck</t>
  </si>
  <si>
    <t>Context only.</t>
  </si>
  <si>
    <t>FY2023A</t>
  </si>
  <si>
    <t>● Energy-Storage.News, reporting Tesla Q4 2023 update</t>
  </si>
  <si>
    <t>energy-storage.news/tesla-deployed-14-7gwh-of-energy-storage-in-2023/</t>
  </si>
  <si>
    <t>FY2024A</t>
  </si>
  <si>
    <t>● Utility Dive, reporting Tesla Q4 2024 results</t>
  </si>
  <si>
    <t>utilitydive.com/news/tesla-battery-storage-powerwall-megapack-earnings/738751/</t>
  </si>
  <si>
    <t>FY2025A</t>
  </si>
  <si>
    <t>● Renewables Now, reporting Tesla FY2025 deployments</t>
  </si>
  <si>
    <t>renewablesnow.com/news/teslas-2025-energy-storage-deployments-hit-all-time-high-of-46-7-gwh-1289136/</t>
  </si>
  <si>
    <t>Anchors the revenue-per-GWh cross-check on the Revenue Build-up sheet.</t>
  </si>
  <si>
    <t>TESLA — BALANCE SHEET</t>
  </si>
  <si>
    <t>Cash &amp; short-term investments</t>
  </si>
  <si>
    <t>● Tesla 2025 Form 10-K, Consolidated Balance Sheets</t>
  </si>
  <si>
    <t>Verified FY2025 cash + short-term investments = $44,059M; used in EV-to-equity bridge.</t>
  </si>
  <si>
    <t>Debt + finance leases, current + non-current</t>
  </si>
  <si>
    <t>● Tesla 2025 Form 10-K, debt and finance-lease disclosures</t>
  </si>
  <si>
    <t>Verified $8,376M carrying value. Label is debt + finance leases (current + non-current), not an observed market value.</t>
  </si>
  <si>
    <t>Noncontrolling interests</t>
  </si>
  <si>
    <t>● Tesla 2025 Form 10-K, redeemable and non-redeemable NCI</t>
  </si>
  <si>
    <t>Verified total NCI = $728M, comprising the relevant redeemable and non-redeemable interests used in the bridge.</t>
  </si>
  <si>
    <t>TESLA — SHARES</t>
  </si>
  <si>
    <t>Current common shares outstanding</t>
  </si>
  <si>
    <t>Sep 2026</t>
  </si>
  <si>
    <t>● Tesla Q2 2026 Form 10-Q cover page</t>
  </si>
  <si>
    <t>2026-07-24</t>
  </si>
  <si>
    <t>https://www.sec.gov/Archives/edgar/data/1318605/000162828026049270/tsla-20260630.htm</t>
  </si>
  <si>
    <t>Verified 3,949,547,394 common shares outstanding as of 16-Jul-2026; model rounds to 3,950M. This is current common shares outstanding, not diluted weighted-average shares.</t>
  </si>
  <si>
    <t>Share price, valuation-date close</t>
  </si>
  <si>
    <t>03-Sep-2026</t>
  </si>
  <si>
    <t>● Yahoo Finance historical market close</t>
  </si>
  <si>
    <t>https://finance.yahoo.com/quote/TSLA/</t>
  </si>
  <si>
    <t>Verified TSLA close = $376.37 on 03-Sep-2026. Single source-of-truth remains Assumptions!G56.</t>
  </si>
  <si>
    <t>Risk-free rate, 10-yr US Treasury</t>
  </si>
  <si>
    <t>US Treasury</t>
  </si>
  <si>
    <t>● U.S. Treasury Daily Treasury Par Yield Curve</t>
  </si>
  <si>
    <t>https://home.treasury.gov/resource-center/data-chart-center/interest-rates/TextView?type=daily_treasury_yield_curve</t>
  </si>
  <si>
    <t>Verified 10-year U.S. Treasury yield = 4.77% on 03-Sep-2026.</t>
  </si>
  <si>
    <t>Levered beta</t>
  </si>
  <si>
    <t>● Yahoo Finance — Beta (5Y Monthly)</t>
  </si>
  <si>
    <t>Sep-2026</t>
  </si>
  <si>
    <t>Verified current 5Y monthly beta = 1.85. Workbook still contains 1.84 pending the user's manual update; do not treat 1.84 as the verified value.</t>
  </si>
  <si>
    <t>Equity risk premium</t>
  </si>
  <si>
    <t>Mature market</t>
  </si>
  <si>
    <t>● Aswath Damodaran, NYU Stern — Implied ERP</t>
  </si>
  <si>
    <t>01-Sep-2026</t>
  </si>
  <si>
    <t>https://pages.stern.nyu.edu/adamodar/New_Home_Page/home.htm</t>
  </si>
  <si>
    <t>Verified TTM adjusted-payout implied ERP = 4.14% on 01-Sep-2026. Workbook still contains 5.00% pending the user's manual update.</t>
  </si>
  <si>
    <t>Pre-tax cost of debt</t>
  </si>
  <si>
    <t>▲ Analyst assumption; Tesla debt disclosures used as reasonableness check</t>
  </si>
  <si>
    <t>5.00% is not a directly observed blended market yield. Treat as a normalized pre-tax cost-of-debt assumption unless a specific yield methodology is added.</t>
  </si>
  <si>
    <t>PEER DATA</t>
  </si>
  <si>
    <t>Share price, market cap, EV, revenue, EBITDA, EBIT, net income, book value</t>
  </si>
  <si>
    <t>BYDDY, RIVN, LCID, NIO, LI, GM, F</t>
  </si>
  <si>
    <t>TTM to 30-Jun-2026; priced 03-Sep-2026</t>
  </si>
  <si>
    <t>see Comparable Companies rows 17–23</t>
  </si>
  <si>
    <t>$M / $</t>
  </si>
  <si>
    <t>▲ Individual peer filings + historical market closes — company-by-company verification still required</t>
  </si>
  <si>
    <t>https://www.sec.gov/edgar/searchedgar/companysearch</t>
  </si>
  <si>
    <t>Do not mark this row verified as a group. Each peer's TTM financials and 03-Sep-2026 market data should be tied to its own filing/provider before publication.</t>
  </si>
  <si>
    <t>Tesla TTM revenue, EBITDA, EBIT, net income, book value</t>
  </si>
  <si>
    <t>TTM to 30-Jun-2026</t>
  </si>
  <si>
    <t>see Comparable Companies row 34</t>
  </si>
  <si>
    <t>● Tesla 2025 Form 10-K + Q2 2026 Form 10-Q / TTM calculation</t>
  </si>
  <si>
    <t>Tesla TTM metrics are derived from FY2025 plus H1 2026 less H1 2025 where applicable; Tesla remains excluded from peer percentile statistics.</t>
  </si>
  <si>
    <t>PRECEDENT TRANSACTIONS</t>
  </si>
  <si>
    <t>Zoox / Amazon</t>
  </si>
  <si>
    <t>Announced 26-Jun-2020</t>
  </si>
  <si>
    <t>▲ Amazon acquisition announcement confirms transaction; purchase price not disclosed by Amazon</t>
  </si>
  <si>
    <t>26-Jun-2020</t>
  </si>
  <si>
    <t>https://www.aboutamazon.com/news/company-news/were-acquiring-zoox-to-help-bring-their-vision-of-autonomous-ride-hailing-to-reality</t>
  </si>
  <si>
    <t>$1.2B remains a secondary-source figure and should not be presented as primary-source verified until a named secondary source is added.</t>
  </si>
  <si>
    <t>Cruise stake / General Motors</t>
  </si>
  <si>
    <t>Announced Nov 2021</t>
  </si>
  <si>
    <t>● General Motors investor announcement / SEC disclosure</t>
  </si>
  <si>
    <t>18-Mar-2022</t>
  </si>
  <si>
    <t>https://investor.gm.com/news-releases/news-release-details/gm-announces-additional-investment-cruise</t>
  </si>
  <si>
    <t>Verified: GM acquired SoftBank Vision Fund 1's Cruise equity stake for $2.1B. Target LTM financials not disclosed.</t>
  </si>
  <si>
    <t>Lordstown Ohio plant / Foxconn</t>
  </si>
  <si>
    <t>Hon Hai Technology Group</t>
  </si>
  <si>
    <t>Announced 11-May-2022</t>
  </si>
  <si>
    <t>● Lordstown Motors / Foxconn company announcement</t>
  </si>
  <si>
    <t>11-May-2022</t>
  </si>
  <si>
    <t>https://investor.lordstownmotors.com/news-releases/news-release-details/lordstown-motors-and-foxconn-close-asset-purchase-agreement-and</t>
  </si>
  <si>
    <t>Verified $230M plant purchase price; asset purchase, not a whole-company transaction.</t>
  </si>
  <si>
    <t>AKASOL / BorgWarner</t>
  </si>
  <si>
    <t>Announced Dec 2021</t>
  </si>
  <si>
    <t>● BorgWarner acquisition announcement; EUR/USD conversion at announcement date</t>
  </si>
  <si>
    <t>15-Feb-2021</t>
  </si>
  <si>
    <t>https://www.borgwarner.com/newsroom/press-releases/2021/02/15/borgwarner-agrees-to-acquire-akasol-ag-seeking-to-expand-electrification-portfolio</t>
  </si>
  <si>
    <t>Primary source values 100% of AKASOL equity at ~€727M. Converted at 1 EUR = 1.2132 USD on 15-Feb-2021, giving ~US$882M; FX cross-check: https://www.exchange-rates.org/exchange-rate-history/eur-usd-2021</t>
  </si>
  <si>
    <t>Boston Dynamics / Hyundai</t>
  </si>
  <si>
    <t>Hyundai Motor Group</t>
  </si>
  <si>
    <t>Announced Dec 2020</t>
  </si>
  <si>
    <t>● Hyundai Motor Group acquisition announcement</t>
  </si>
  <si>
    <t>11-Dec-2020</t>
  </si>
  <si>
    <t>https://www.hyundai.com/worldwide/en/newsroom/detail/0000000577</t>
  </si>
  <si>
    <t>Verified: transaction valued Boston Dynamics at $1.1B; Hyundai Motor Group to acquire an approximately 80% stake.</t>
  </si>
  <si>
    <t>MODEL ASSUMPTIONS</t>
  </si>
  <si>
    <t>All FY2026E–FY2030E operating drivers, three cases</t>
  </si>
  <si>
    <t>FY2026E–FY2030E</t>
  </si>
  <si>
    <t>see Assumptions rows 68–100</t>
  </si>
  <si>
    <t>various</t>
  </si>
  <si>
    <t>Author’s own estimates</t>
  </si>
  <si>
    <t>No external source</t>
  </si>
  <si>
    <t>Rationale for each block is set out in the callout boxes on the Assumptions sheet.</t>
  </si>
  <si>
    <t>Working capital, depreciation, tax, financing and equity ratios</t>
  </si>
  <si>
    <t>see Assumptions rows 29–53</t>
  </si>
  <si>
    <t>Author’s own estimates, anchored on FY2021A–FY2025A actuals</t>
  </si>
  <si>
    <t>Common to all three scenario cases.</t>
  </si>
  <si>
    <t>Priority of sources: (1) SEC filings and Tesla Investor Relations disclosures; (2) peer filings and investor-relations disclosures; (3) reputable market-data providers, used only where a primary filing cannot supply the market input. No value in the workbook was sourced from an unattributed aggregator.</t>
  </si>
  <si>
    <t xml:space="preserve">Current fundamental forecast </t>
  </si>
  <si>
    <t>Common Shares Outstanding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</si>
</sst>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
    <numFmt numFmtId="165" formatCode="0.0%;\(0.0%\);\–"/>
    <numFmt numFmtId="166" formatCode="\$#,##0.00;&quot;($&quot;#,##0.00\);\–"/>
    <numFmt numFmtId="167" formatCode="0.000"/>
    <numFmt numFmtId="168" formatCode="0.0%"/>
    <numFmt numFmtId="169" formatCode="#,##0;\(#,##0\);&quot;–&quot;"/>
    <numFmt numFmtId="170" formatCode="0.0%;\(0.0%\);&quot;–&quot;"/>
    <numFmt numFmtId="171" formatCode="0.0;\(0.0\);&quot;–&quot;"/>
    <numFmt numFmtId="172" formatCode="\$#,##0.00;\(\$#,##0.00\);&quot;–&quot;"/>
    <numFmt numFmtId="173" formatCode="0.00%;\(0.00%\);&quot;–&quot;"/>
    <numFmt numFmtId="174" formatCode="0.00;\(0.00\);&quot;–&quot;"/>
    <numFmt numFmtId="175" formatCode="0.0&quot;x&quot;;\(0.0&quot;x&quot;\);&quot;–&quot;"/>
    <numFmt numFmtId="176" formatCode="#,##0.0;\(#,##0.0\);&quot;–&quot;"/>
    <numFmt numFmtId="177" formatCode="d\ mmmm\ yyyy"/>
    <numFmt numFmtId="178" formatCode="&quot;$&quot;#,##0&quot;M&quot;"/>
    <numFmt numFmtId="179" formatCode="\$#,##0.00"/>
    <numFmt numFmtId="180" formatCode="dd\-mmm\-yyyy"/>
    <numFmt numFmtId="181" formatCode="#,##0.0"/>
  </numFmts>
  <fonts count="86" x14ac:knownFonts="1">
    <font>
      <sz val="11"/>
      <color theme="1"/>
      <name val="Calibri"/>
    </font>
    <font>
      <i/>
      <sz val="8"/>
      <color rgb="FF404040"/>
      <name val="Arial"/>
      <family val="2"/>
    </font>
    <font>
      <b/>
      <sz val="9"/>
      <color rgb="FF000000"/>
      <name val="Arial"/>
      <family val="2"/>
    </font>
    <font>
      <b/>
      <sz val="9"/>
      <color rgb="FFFFFFFF"/>
      <name val="Arial"/>
      <family val="2"/>
    </font>
    <font>
      <b/>
      <sz val="10"/>
      <color rgb="FFFFFFFF"/>
      <name val="Arial"/>
      <family val="2"/>
    </font>
    <font>
      <sz val="9"/>
      <color rgb="FF008000"/>
      <name val="Arial"/>
      <family val="2"/>
    </font>
    <font>
      <sz val="9"/>
      <color rgb="FF000000"/>
      <name val="Arial"/>
      <family val="2"/>
    </font>
    <font>
      <b/>
      <sz val="9"/>
      <color rgb="FF0000FF"/>
      <name val="Arial"/>
      <family val="2"/>
    </font>
    <font>
      <sz val="8"/>
      <color rgb="FF404040"/>
      <name val="Arial"/>
      <family val="2"/>
    </font>
    <font>
      <sz val="9"/>
      <color rgb="FF0000FF"/>
      <name val="Arial"/>
      <family val="2"/>
    </font>
    <font>
      <b/>
      <sz val="9"/>
      <color rgb="FF404040"/>
      <name val="Arial"/>
      <family val="2"/>
    </font>
    <font>
      <b/>
      <i/>
      <sz val="9"/>
      <color rgb="FF000000"/>
      <name val="Arial"/>
      <family val="2"/>
    </font>
    <font>
      <i/>
      <sz val="8"/>
      <color rgb="FF404040"/>
      <name val="Arial"/>
      <family val="2"/>
    </font>
    <font>
      <sz val="13"/>
      <color rgb="FFFFFFFF"/>
      <name val="Calibri Light"/>
      <family val="2"/>
    </font>
    <font>
      <sz val="8"/>
      <color rgb="FFB8BAC0"/>
      <name val="Calibri"/>
      <family val="2"/>
    </font>
    <font>
      <b/>
      <sz val="10"/>
      <color rgb="FFFFFFFF"/>
      <name val="Calibri"/>
      <family val="2"/>
    </font>
    <font>
      <i/>
      <sz val="8"/>
      <color rgb="FF6E6E73"/>
      <name val="Calibri"/>
      <family val="2"/>
    </font>
    <font>
      <b/>
      <sz val="8"/>
      <color rgb="FF6E6E73"/>
      <name val="Calibri"/>
      <family val="2"/>
    </font>
    <font>
      <b/>
      <sz val="9"/>
      <color rgb="FF222225"/>
      <name val="Calibri"/>
      <family val="2"/>
    </font>
    <font>
      <b/>
      <sz val="9"/>
      <color rgb="FF6E6E73"/>
      <name val="Calibri"/>
      <family val="2"/>
    </font>
    <font>
      <b/>
      <sz val="8"/>
      <color rgb="FF171A20"/>
      <name val="Calibri"/>
      <family val="2"/>
    </font>
    <font>
      <sz val="9"/>
      <color rgb="FF222225"/>
      <name val="Calibri"/>
      <family val="2"/>
    </font>
    <font>
      <sz val="8"/>
      <color rgb="FF6E6E73"/>
      <name val="Calibri"/>
      <family val="2"/>
    </font>
    <font>
      <sz val="9"/>
      <color rgb="FF008000"/>
      <name val="Calibri"/>
      <family val="2"/>
    </font>
    <font>
      <sz val="9"/>
      <color rgb="FF0000CC"/>
      <name val="Calibri"/>
      <family val="2"/>
    </font>
    <font>
      <i/>
      <sz val="9"/>
      <color rgb="FF6E6E73"/>
      <name val="Calibri"/>
      <family val="2"/>
    </font>
    <font>
      <sz val="9"/>
      <name val="Calibri"/>
      <family val="2"/>
    </font>
    <font>
      <b/>
      <sz val="8"/>
      <color rgb="FF6E6E73"/>
      <name val="Calibri"/>
      <family val="2"/>
    </font>
    <font>
      <b/>
      <sz val="9"/>
      <color rgb="FF171A20"/>
      <name val="Calibri"/>
      <family val="2"/>
    </font>
    <font>
      <b/>
      <sz val="9"/>
      <color rgb="FF222225"/>
      <name val="Calibri"/>
      <family val="2"/>
    </font>
    <font>
      <i/>
      <sz val="9"/>
      <color rgb="FF222225"/>
      <name val="Calibri"/>
      <family val="2"/>
    </font>
    <font>
      <b/>
      <sz val="9"/>
      <color rgb="FF171A20"/>
      <name val="Calibri"/>
      <family val="2"/>
    </font>
    <font>
      <b/>
      <sz val="9"/>
      <color rgb="FFFFFFFF"/>
      <name val="Calibri"/>
      <family val="2"/>
    </font>
    <font>
      <b/>
      <sz val="9"/>
      <color rgb="FF0000CC"/>
      <name val="Calibri"/>
      <family val="2"/>
    </font>
    <font>
      <b/>
      <i/>
      <sz val="9"/>
      <color rgb="FF6E6E73"/>
      <name val="Calibri"/>
      <family val="2"/>
    </font>
    <font>
      <b/>
      <sz val="8"/>
      <color rgb="FF222225"/>
      <name val="Calibri"/>
      <family val="2"/>
    </font>
    <font>
      <sz val="8"/>
      <color rgb="FF008000"/>
      <name val="Calibri"/>
      <family val="2"/>
    </font>
    <font>
      <b/>
      <sz val="8"/>
      <color rgb="FFFFFFFF"/>
      <name val="Calibri"/>
      <family val="2"/>
    </font>
    <font>
      <sz val="9"/>
      <color rgb="FF222225"/>
      <name val="Calibri"/>
      <family val="2"/>
    </font>
    <font>
      <sz val="9"/>
      <color rgb="FF6E6E73"/>
      <name val="Calibri"/>
      <family val="2"/>
    </font>
    <font>
      <sz val="9"/>
      <color rgb="FF0000CC"/>
      <name val="Calibri"/>
      <family val="2"/>
    </font>
    <font>
      <b/>
      <sz val="9"/>
      <color rgb="FFE31937"/>
      <name val="Calibri"/>
      <family val="2"/>
    </font>
    <font>
      <b/>
      <sz val="9"/>
      <color rgb="FF0000CC"/>
      <name val="Calibri"/>
      <family val="2"/>
    </font>
    <font>
      <sz val="8"/>
      <color rgb="FF0000CC"/>
      <name val="Calibri"/>
      <family val="2"/>
    </font>
    <font>
      <i/>
      <sz val="7"/>
      <color rgb="FFB8BAC0"/>
      <name val="Calibri"/>
      <family val="2"/>
    </font>
    <font>
      <sz val="9"/>
      <color rgb="FF171A20"/>
      <name val="Calibri"/>
      <family val="2"/>
    </font>
    <font>
      <sz val="8"/>
      <color rgb="FF6E6E73"/>
      <name val="Calibri"/>
      <family val="2"/>
    </font>
    <font>
      <b/>
      <sz val="9"/>
      <color rgb="FFFFFFFF"/>
      <name val="Calibri"/>
      <family val="2"/>
    </font>
    <font>
      <sz val="9"/>
      <color rgb="FF171A20"/>
      <name val="Calibri"/>
      <family val="2"/>
    </font>
    <font>
      <b/>
      <sz val="9"/>
      <color rgb="FFE31937"/>
      <name val="Calibri"/>
      <family val="2"/>
    </font>
    <font>
      <sz val="8"/>
      <color rgb="FF0000CC"/>
      <name val="Calibri"/>
      <family val="2"/>
    </font>
    <font>
      <b/>
      <sz val="8"/>
      <color rgb="FFE31937"/>
      <name val="Calibri"/>
      <family val="2"/>
    </font>
    <font>
      <sz val="32"/>
      <color rgb="FFFFFFFF"/>
      <name val="Calibri Light"/>
      <family val="2"/>
    </font>
    <font>
      <sz val="13"/>
      <color rgb="FFFFFFFF"/>
      <name val="Calibri"/>
      <family val="2"/>
    </font>
    <font>
      <sz val="10"/>
      <color rgb="FFB8BAC0"/>
      <name val="Calibri"/>
      <family val="2"/>
    </font>
    <font>
      <b/>
      <sz val="7"/>
      <color rgb="FF6E6E73"/>
      <name val="Calibri"/>
      <family val="2"/>
    </font>
    <font>
      <sz val="15"/>
      <color rgb="FFFFFFFF"/>
      <name val="Calibri Light"/>
      <family val="2"/>
    </font>
    <font>
      <i/>
      <sz val="8"/>
      <color rgb="FF6E6E73"/>
      <name val="Calibri"/>
      <family val="2"/>
    </font>
    <font>
      <b/>
      <sz val="8"/>
      <color rgb="FFB8BAC0"/>
      <name val="Calibri"/>
      <family val="2"/>
    </font>
    <font>
      <b/>
      <sz val="19"/>
      <color rgb="FFFFFFFF"/>
      <name val="Calibri"/>
      <family val="2"/>
    </font>
    <font>
      <sz val="8"/>
      <color rgb="FF8F9198"/>
      <name val="Calibri"/>
      <family val="2"/>
    </font>
    <font>
      <b/>
      <sz val="14"/>
      <color rgb="FF171A20"/>
      <name val="Calibri"/>
      <family val="2"/>
    </font>
    <font>
      <sz val="7"/>
      <color rgb="FF6E6E73"/>
      <name val="Calibri"/>
      <family val="2"/>
    </font>
    <font>
      <b/>
      <sz val="8"/>
      <color rgb="FFFFFFFF"/>
      <name val="Calibri"/>
      <family val="2"/>
    </font>
    <font>
      <b/>
      <sz val="9"/>
      <color rgb="FF0B7A3B"/>
      <name val="Calibri"/>
      <family val="2"/>
    </font>
    <font>
      <i/>
      <sz val="7"/>
      <color rgb="FF6E6E73"/>
      <name val="Calibri"/>
      <family val="2"/>
    </font>
    <font>
      <i/>
      <sz val="9"/>
      <color rgb="FF3F4147"/>
      <name val="Calibri"/>
      <family val="2"/>
    </font>
    <font>
      <b/>
      <sz val="9"/>
      <color rgb="FF008000"/>
      <name val="Calibri"/>
      <family val="2"/>
    </font>
    <font>
      <sz val="8"/>
      <color rgb="FF222225"/>
      <name val="Calibri"/>
      <family val="2"/>
    </font>
    <font>
      <b/>
      <sz val="11"/>
      <color rgb="FF0000CC"/>
      <name val="Calibri"/>
      <family val="2"/>
    </font>
    <font>
      <b/>
      <sz val="10"/>
      <color rgb="FFE31937"/>
      <name val="Calibri"/>
      <family val="2"/>
    </font>
    <font>
      <sz val="8"/>
      <color rgb="FF9E1226"/>
      <name val="Calibri"/>
      <family val="2"/>
    </font>
    <font>
      <sz val="8"/>
      <color rgb="FF171A20"/>
      <name val="Calibri"/>
      <family val="2"/>
    </font>
    <font>
      <sz val="8"/>
      <color rgb="FF1F6B3B"/>
      <name val="Calibri"/>
      <family val="2"/>
    </font>
    <font>
      <b/>
      <sz val="8"/>
      <color rgb="FF222225"/>
      <name val="Calibri"/>
      <family val="2"/>
    </font>
    <font>
      <b/>
      <sz val="9"/>
      <color rgb="FF008000"/>
      <name val="Calibri"/>
      <family val="2"/>
    </font>
    <font>
      <b/>
      <sz val="10"/>
      <color rgb="FF222225"/>
      <name val="Calibri"/>
      <family val="2"/>
    </font>
    <font>
      <b/>
      <sz val="10"/>
      <color rgb="FFFFFFFF"/>
      <name val="Calibri"/>
      <family val="2"/>
    </font>
    <font>
      <b/>
      <sz val="9"/>
      <color rgb="FF0B7A3B"/>
      <name val="Calibri"/>
      <family val="2"/>
    </font>
    <font>
      <b/>
      <sz val="10"/>
      <color rgb="FF171A20"/>
      <name val="Calibri"/>
      <family val="2"/>
    </font>
    <font>
      <b/>
      <sz val="11"/>
      <color rgb="FFFFFFFF"/>
      <name val="Calibri"/>
      <family val="2"/>
    </font>
    <font>
      <b/>
      <sz val="8"/>
      <color rgb="FF171A20"/>
      <name val="Calibri"/>
      <family val="2"/>
    </font>
    <font>
      <b/>
      <sz val="7"/>
      <color rgb="FFFFFFFF"/>
      <name val="Calibri"/>
      <family val="2"/>
    </font>
    <font>
      <b/>
      <sz val="9"/>
      <color rgb="FF9E1226"/>
      <name val="Calibri"/>
      <family val="2"/>
    </font>
    <font>
      <b/>
      <sz val="9"/>
      <color rgb="FF1F6B3B"/>
      <name val="Calibri"/>
      <family val="2"/>
    </font>
    <font>
      <sz val="11"/>
      <color theme="1"/>
      <name val="Calibri"/>
      <family val="2"/>
    </font>
  </fonts>
  <fills count="16">
    <fill>
      <patternFill patternType="none"/>
    </fill>
    <fill>
      <patternFill patternType="gray125"/>
    </fill>
    <fill>
      <patternFill patternType="solid">
        <fgColor rgb="FFF2F2F2"/>
      </patternFill>
    </fill>
    <fill>
      <patternFill patternType="solid">
        <fgColor theme="0"/>
      </patternFill>
    </fill>
    <fill>
      <patternFill patternType="solid">
        <fgColor theme="0"/>
      </patternFill>
    </fill>
    <fill>
      <patternFill patternType="solid">
        <fgColor theme="0"/>
      </patternFill>
    </fill>
    <fill>
      <patternFill patternType="solid">
        <fgColor theme="0" tint="-4.9989318521683403E-2"/>
        <bgColor indexed="65"/>
      </patternFill>
    </fill>
    <fill>
      <patternFill patternType="solid">
        <fgColor rgb="FFF2F2F2"/>
      </patternFill>
    </fill>
    <fill>
      <patternFill patternType="solid">
        <fgColor rgb="FF171A20"/>
      </patternFill>
    </fill>
    <fill>
      <patternFill patternType="solid">
        <fgColor rgb="FFFFFFFF"/>
      </patternFill>
    </fill>
    <fill>
      <patternFill patternType="solid">
        <fgColor rgb="FFF4F4F4"/>
      </patternFill>
    </fill>
    <fill>
      <patternFill patternType="solid">
        <fgColor rgb="FFFFF2CC"/>
      </patternFill>
    </fill>
    <fill>
      <patternFill patternType="solid">
        <fgColor rgb="FFFAFAFB"/>
      </patternFill>
    </fill>
    <fill>
      <patternFill patternType="solid">
        <fgColor rgb="FFFDEBEE"/>
      </patternFill>
    </fill>
    <fill>
      <patternFill patternType="solid">
        <fgColor rgb="FFE31937"/>
      </patternFill>
    </fill>
    <fill>
      <patternFill patternType="solid">
        <fgColor rgb="FF0B7A3B"/>
      </patternFill>
    </fill>
  </fills>
  <borders count="43">
    <border>
      <left/>
      <right/>
      <top/>
      <bottom/>
      <diagonal/>
    </border>
    <border>
      <left/>
      <right/>
      <top/>
      <bottom style="thin">
        <color rgb="FFBFBFBF"/>
      </bottom>
      <diagonal/>
    </border>
    <border>
      <left/>
      <right/>
      <top/>
      <bottom style="medium">
        <color rgb="FFE31937"/>
      </bottom>
      <diagonal/>
    </border>
    <border>
      <left/>
      <right/>
      <top/>
      <bottom style="medium">
        <color rgb="FF171A20"/>
      </bottom>
      <diagonal/>
    </border>
    <border>
      <left/>
      <right/>
      <top style="thin">
        <color rgb="FFD9DADD"/>
      </top>
      <bottom style="thin">
        <color rgb="FFD9DADD"/>
      </bottom>
      <diagonal/>
    </border>
    <border>
      <left style="medium">
        <color rgb="FFE31937"/>
      </left>
      <right/>
      <top style="thin">
        <color rgb="FFD9DADD"/>
      </top>
      <bottom style="thin">
        <color rgb="FFD9DADD"/>
      </bottom>
      <diagonal/>
    </border>
    <border>
      <left/>
      <right/>
      <top/>
      <bottom/>
      <diagonal/>
    </border>
    <border>
      <left/>
      <right/>
      <top style="thin">
        <color rgb="FF3F4147"/>
      </top>
      <bottom/>
      <diagonal/>
    </border>
    <border>
      <left/>
      <right/>
      <top style="thin">
        <color rgb="FF171A20"/>
      </top>
      <bottom style="double">
        <color rgb="FF171A20"/>
      </bottom>
      <diagonal/>
    </border>
    <border>
      <left/>
      <right/>
      <top style="thin">
        <color rgb="FF171A20"/>
      </top>
      <bottom/>
      <diagonal/>
    </border>
    <border>
      <left style="thin">
        <color rgb="FFFFFFFF"/>
      </left>
      <right style="thin">
        <color rgb="FFFFFFFF"/>
      </right>
      <top style="thin">
        <color rgb="FFFFFFFF"/>
      </top>
      <bottom style="thin">
        <color rgb="FFFFFFFF"/>
      </bottom>
      <diagonal/>
    </border>
    <border>
      <left/>
      <right/>
      <top/>
      <bottom style="thin">
        <color rgb="FFE31937"/>
      </bottom>
      <diagonal/>
    </border>
    <border>
      <left/>
      <right/>
      <top style="thin">
        <color rgb="FFE31937"/>
      </top>
      <bottom style="thin">
        <color rgb="FFE31937"/>
      </bottom>
      <diagonal/>
    </border>
    <border>
      <left style="medium">
        <color rgb="FFE31937"/>
      </left>
      <right/>
      <top style="thin">
        <color rgb="FFE31937"/>
      </top>
      <bottom style="thin">
        <color rgb="FFE31937"/>
      </bottom>
      <diagonal/>
    </border>
    <border>
      <left/>
      <right/>
      <top/>
      <bottom style="thin">
        <color rgb="FFD9DADD"/>
      </bottom>
      <diagonal/>
    </border>
    <border>
      <left/>
      <right/>
      <top/>
      <bottom style="medium">
        <color rgb="FFE31937"/>
      </bottom>
      <diagonal/>
    </border>
    <border>
      <left style="thin">
        <color rgb="FFD9DADD"/>
      </left>
      <right/>
      <top/>
      <bottom/>
      <diagonal/>
    </border>
    <border>
      <left/>
      <right/>
      <top/>
      <bottom/>
      <diagonal/>
    </border>
    <border>
      <left/>
      <right style="thin">
        <color rgb="FFD9DADD"/>
      </right>
      <top/>
      <bottom/>
      <diagonal/>
    </border>
    <border>
      <left style="thin">
        <color rgb="FFD9DADD"/>
      </left>
      <right/>
      <top style="thin">
        <color rgb="FF171A20"/>
      </top>
      <bottom/>
      <diagonal/>
    </border>
    <border>
      <left style="thin">
        <color rgb="FFD9DADD"/>
      </left>
      <right/>
      <top/>
      <bottom style="thin">
        <color rgb="FFD9DADD"/>
      </bottom>
      <diagonal/>
    </border>
    <border>
      <left/>
      <right/>
      <top/>
      <bottom style="thin">
        <color rgb="FFD9DADD"/>
      </bottom>
      <diagonal/>
    </border>
    <border>
      <left/>
      <right style="thin">
        <color rgb="FFD9DADD"/>
      </right>
      <top/>
      <bottom style="thin">
        <color rgb="FFD9DADD"/>
      </bottom>
      <diagonal/>
    </border>
    <border>
      <left style="thin">
        <color rgb="FFD9DADD"/>
      </left>
      <right style="thin">
        <color rgb="FFD9DADD"/>
      </right>
      <top style="thin">
        <color rgb="FFD9DADD"/>
      </top>
      <bottom style="thin">
        <color rgb="FFD9DADD"/>
      </bottom>
      <diagonal/>
    </border>
    <border>
      <left style="medium">
        <color rgb="FF171A20"/>
      </left>
      <right style="medium">
        <color rgb="FF171A20"/>
      </right>
      <top style="medium">
        <color rgb="FF171A20"/>
      </top>
      <bottom style="medium">
        <color rgb="FF171A20"/>
      </bottom>
      <diagonal/>
    </border>
    <border>
      <left/>
      <right/>
      <top/>
      <bottom style="thin">
        <color rgb="FFE31937"/>
      </bottom>
      <diagonal/>
    </border>
    <border>
      <left/>
      <right/>
      <top style="medium">
        <color rgb="FFE31937"/>
      </top>
      <bottom/>
      <diagonal/>
    </border>
    <border>
      <left style="thin">
        <color rgb="FFE31937"/>
      </left>
      <right/>
      <top/>
      <bottom style="medium">
        <color rgb="FFFFFFFF"/>
      </bottom>
      <diagonal/>
    </border>
    <border>
      <left/>
      <right/>
      <top/>
      <bottom style="medium">
        <color rgb="FFFFFFFF"/>
      </bottom>
      <diagonal/>
    </border>
    <border>
      <left/>
      <right/>
      <top style="thin">
        <color rgb="FFB8BAC0"/>
      </top>
      <bottom/>
      <diagonal/>
    </border>
    <border>
      <left/>
      <right/>
      <top style="thin">
        <color rgb="FFB8BAC0"/>
      </top>
      <bottom/>
      <diagonal/>
    </border>
    <border>
      <left/>
      <right/>
      <top/>
      <bottom style="thin">
        <color rgb="FFD9DADD"/>
      </bottom>
      <diagonal/>
    </border>
    <border>
      <left style="thin">
        <color rgb="FF171A20"/>
      </left>
      <right style="thin">
        <color rgb="FF171A20"/>
      </right>
      <top style="thin">
        <color rgb="FF171A20"/>
      </top>
      <bottom style="thin">
        <color rgb="FF171A20"/>
      </bottom>
      <diagonal/>
    </border>
    <border>
      <left/>
      <right/>
      <top/>
      <bottom style="thin">
        <color rgb="FF171A20"/>
      </bottom>
      <diagonal/>
    </border>
    <border>
      <left/>
      <right/>
      <top style="thin">
        <color rgb="FFD9DADD"/>
      </top>
      <bottom/>
      <diagonal/>
    </border>
    <border>
      <left style="medium">
        <color rgb="FFE31937"/>
      </left>
      <right style="medium">
        <color rgb="FFE31937"/>
      </right>
      <top style="medium">
        <color rgb="FFE31937"/>
      </top>
      <bottom style="medium">
        <color rgb="FFE31937"/>
      </bottom>
      <diagonal/>
    </border>
    <border>
      <left/>
      <right/>
      <top style="thin">
        <color rgb="FF171A20"/>
      </top>
      <bottom/>
      <diagonal/>
    </border>
    <border>
      <left/>
      <right/>
      <top style="thin">
        <color rgb="FFD9DADD"/>
      </top>
      <bottom style="thin">
        <color rgb="FFD9DADD"/>
      </bottom>
      <diagonal/>
    </border>
    <border>
      <left style="medium">
        <color rgb="FFB8BAC0"/>
      </left>
      <right/>
      <top/>
      <bottom/>
      <diagonal/>
    </border>
    <border>
      <left style="medium">
        <color rgb="FF171A20"/>
      </left>
      <right/>
      <top/>
      <bottom/>
      <diagonal/>
    </border>
    <border>
      <left style="medium">
        <color rgb="FF171A20"/>
      </left>
      <right/>
      <top style="medium">
        <color rgb="FF3F4147"/>
      </top>
      <bottom/>
      <diagonal/>
    </border>
    <border>
      <left/>
      <right/>
      <top style="medium">
        <color rgb="FF3F4147"/>
      </top>
      <bottom/>
      <diagonal/>
    </border>
    <border>
      <left/>
      <right/>
      <top style="medium">
        <color rgb="FF3F4147"/>
      </top>
      <bottom/>
      <diagonal/>
    </border>
  </borders>
  <cellStyleXfs count="2">
    <xf numFmtId="0" fontId="0" fillId="0" borderId="0"/>
    <xf numFmtId="9" fontId="85" fillId="0" borderId="0" applyFont="0" applyFill="0" applyBorder="0" applyAlignment="0" applyProtection="0"/>
  </cellStyleXfs>
  <cellXfs count="372">
    <xf numFmtId="0" fontId="0" fillId="0" borderId="0" xfId="0"/>
    <xf numFmtId="0" fontId="6" fillId="0" borderId="0" xfId="0" applyFont="1" applyAlignment="1">
      <alignment vertical="center"/>
    </xf>
    <xf numFmtId="0" fontId="2" fillId="0" borderId="0" xfId="0" applyFont="1" applyAlignment="1">
      <alignment vertical="center"/>
    </xf>
    <xf numFmtId="165" fontId="5" fillId="0" borderId="0" xfId="0" applyNumberFormat="1" applyFont="1" applyAlignment="1">
      <alignment vertical="center"/>
    </xf>
    <xf numFmtId="164" fontId="9" fillId="0" borderId="0" xfId="0" applyNumberFormat="1" applyFont="1" applyAlignment="1">
      <alignment vertical="center"/>
    </xf>
    <xf numFmtId="165" fontId="2" fillId="0" borderId="0" xfId="0" applyNumberFormat="1" applyFont="1" applyAlignment="1">
      <alignment vertical="center"/>
    </xf>
    <xf numFmtId="1" fontId="9" fillId="0" borderId="0" xfId="0" applyNumberFormat="1" applyFont="1" applyAlignment="1">
      <alignment vertical="center"/>
    </xf>
    <xf numFmtId="1" fontId="6" fillId="0" borderId="0" xfId="0" applyNumberFormat="1" applyFont="1" applyAlignment="1">
      <alignment vertical="center"/>
    </xf>
    <xf numFmtId="0" fontId="0" fillId="2" borderId="0" xfId="0" applyFill="1"/>
    <xf numFmtId="164" fontId="2" fillId="3" borderId="0" xfId="0" applyNumberFormat="1" applyFont="1" applyFill="1" applyAlignment="1">
      <alignment vertical="center"/>
    </xf>
    <xf numFmtId="0" fontId="4" fillId="4" borderId="0" xfId="0" applyFont="1" applyFill="1" applyAlignment="1">
      <alignment vertical="center"/>
    </xf>
    <xf numFmtId="0" fontId="0" fillId="4" borderId="0" xfId="0" applyFill="1"/>
    <xf numFmtId="0" fontId="0" fillId="5" borderId="0" xfId="0" applyFill="1"/>
    <xf numFmtId="166" fontId="11" fillId="6" borderId="0" xfId="0" applyNumberFormat="1" applyFont="1" applyFill="1" applyAlignment="1">
      <alignment vertical="center"/>
    </xf>
    <xf numFmtId="165" fontId="7" fillId="3" borderId="0" xfId="0" applyNumberFormat="1" applyFont="1" applyFill="1" applyAlignment="1">
      <alignment vertical="center"/>
    </xf>
    <xf numFmtId="0" fontId="1" fillId="0" borderId="0" xfId="0" applyFont="1" applyAlignment="1">
      <alignment vertical="center"/>
    </xf>
    <xf numFmtId="0" fontId="0" fillId="0" borderId="1" xfId="0" applyBorder="1"/>
    <xf numFmtId="0" fontId="0" fillId="0" borderId="0" xfId="0" applyAlignment="1">
      <alignment wrapText="1"/>
    </xf>
    <xf numFmtId="166" fontId="6" fillId="0" borderId="0" xfId="0" applyNumberFormat="1" applyFont="1" applyAlignment="1">
      <alignment vertical="center"/>
    </xf>
    <xf numFmtId="0" fontId="0" fillId="8" borderId="26" xfId="0" applyFill="1" applyBorder="1"/>
    <xf numFmtId="0" fontId="0" fillId="8" borderId="0" xfId="0" applyFill="1"/>
    <xf numFmtId="0" fontId="0" fillId="14" borderId="0" xfId="0" applyFill="1"/>
    <xf numFmtId="0" fontId="0" fillId="0" borderId="14" xfId="0" applyBorder="1"/>
    <xf numFmtId="0" fontId="21" fillId="0" borderId="0" xfId="0" applyFont="1" applyAlignment="1">
      <alignment horizontal="left" vertical="center"/>
    </xf>
    <xf numFmtId="0" fontId="20" fillId="10" borderId="5" xfId="0" applyFont="1" applyFill="1" applyBorder="1" applyAlignment="1">
      <alignment horizontal="left" vertical="center"/>
    </xf>
    <xf numFmtId="0" fontId="0" fillId="10" borderId="4" xfId="0" applyFill="1" applyBorder="1"/>
    <xf numFmtId="0" fontId="63" fillId="8" borderId="0" xfId="0" applyFont="1" applyFill="1" applyAlignment="1">
      <alignment horizontal="right" vertical="center"/>
    </xf>
    <xf numFmtId="0" fontId="38" fillId="0" borderId="14" xfId="0" applyFont="1" applyBorder="1" applyAlignment="1">
      <alignment horizontal="left" vertical="center"/>
    </xf>
    <xf numFmtId="172" fontId="39" fillId="0" borderId="14" xfId="0" applyNumberFormat="1" applyFont="1" applyBorder="1" applyAlignment="1">
      <alignment horizontal="right" vertical="center"/>
    </xf>
    <xf numFmtId="172" fontId="31" fillId="0" borderId="14" xfId="0" applyNumberFormat="1" applyFont="1" applyBorder="1" applyAlignment="1">
      <alignment horizontal="right" vertical="center"/>
    </xf>
    <xf numFmtId="170" fontId="39" fillId="0" borderId="14" xfId="0" applyNumberFormat="1" applyFont="1" applyBorder="1" applyAlignment="1">
      <alignment horizontal="right" vertical="center"/>
    </xf>
    <xf numFmtId="0" fontId="82" fillId="8" borderId="0" xfId="0" applyFont="1" applyFill="1" applyAlignment="1">
      <alignment horizontal="right" vertical="center" wrapText="1"/>
    </xf>
    <xf numFmtId="169" fontId="38" fillId="0" borderId="14" xfId="0" applyNumberFormat="1" applyFont="1" applyBorder="1" applyAlignment="1">
      <alignment horizontal="right" vertical="center"/>
    </xf>
    <xf numFmtId="170" fontId="38" fillId="0" borderId="14" xfId="0" applyNumberFormat="1" applyFont="1" applyBorder="1" applyAlignment="1">
      <alignment horizontal="right" vertical="center"/>
    </xf>
    <xf numFmtId="0" fontId="31" fillId="0" borderId="14" xfId="0" applyFont="1" applyBorder="1" applyAlignment="1">
      <alignment horizontal="left" vertical="center"/>
    </xf>
    <xf numFmtId="0" fontId="26" fillId="0" borderId="6" xfId="0" applyFont="1" applyBorder="1"/>
    <xf numFmtId="0" fontId="17" fillId="0" borderId="0" xfId="0" applyFont="1" applyAlignment="1">
      <alignment horizontal="left" vertical="top" wrapText="1"/>
    </xf>
    <xf numFmtId="0" fontId="17" fillId="0" borderId="0" xfId="0" applyFont="1" applyAlignment="1">
      <alignment horizontal="right" vertical="center"/>
    </xf>
    <xf numFmtId="1" fontId="69" fillId="11" borderId="32" xfId="0" applyNumberFormat="1" applyFont="1" applyFill="1" applyBorder="1" applyAlignment="1">
      <alignment horizontal="center" vertical="center"/>
    </xf>
    <xf numFmtId="0" fontId="70" fillId="0" borderId="0" xfId="0" applyFont="1" applyAlignment="1">
      <alignment horizontal="left" vertical="center"/>
    </xf>
    <xf numFmtId="0" fontId="17" fillId="0" borderId="3" xfId="0" applyFont="1" applyBorder="1" applyAlignment="1">
      <alignment horizontal="center"/>
    </xf>
    <xf numFmtId="0" fontId="18" fillId="9" borderId="3" xfId="0" applyFont="1" applyFill="1" applyBorder="1" applyAlignment="1">
      <alignment horizontal="center"/>
    </xf>
    <xf numFmtId="0" fontId="19" fillId="10" borderId="3" xfId="0" applyFont="1" applyFill="1" applyBorder="1" applyAlignment="1">
      <alignment horizontal="center"/>
    </xf>
    <xf numFmtId="0" fontId="22" fillId="0" borderId="0" xfId="0" applyFont="1" applyAlignment="1">
      <alignment horizontal="left" vertical="top"/>
    </xf>
    <xf numFmtId="0" fontId="25" fillId="0" borderId="0" xfId="0" applyFont="1" applyAlignment="1">
      <alignment horizontal="left" vertical="center"/>
    </xf>
    <xf numFmtId="0" fontId="22" fillId="0" borderId="0" xfId="0" applyFont="1" applyAlignment="1">
      <alignment horizontal="center" vertical="center"/>
    </xf>
    <xf numFmtId="169" fontId="23" fillId="0" borderId="0" xfId="0" applyNumberFormat="1" applyFont="1" applyAlignment="1">
      <alignment horizontal="right" vertical="center"/>
    </xf>
    <xf numFmtId="170" fontId="23" fillId="0" borderId="0" xfId="0" applyNumberFormat="1" applyFont="1" applyAlignment="1">
      <alignment horizontal="right" vertical="center"/>
    </xf>
    <xf numFmtId="170" fontId="21" fillId="12" borderId="0" xfId="0" applyNumberFormat="1" applyFont="1" applyFill="1" applyAlignment="1">
      <alignment horizontal="right" vertical="center"/>
    </xf>
    <xf numFmtId="3" fontId="23" fillId="0" borderId="0" xfId="0" applyNumberFormat="1" applyFont="1" applyAlignment="1">
      <alignment horizontal="right" vertical="center"/>
    </xf>
    <xf numFmtId="171" fontId="23" fillId="0" borderId="0" xfId="0" applyNumberFormat="1" applyFont="1" applyAlignment="1">
      <alignment horizontal="right" vertical="center"/>
    </xf>
    <xf numFmtId="171" fontId="24" fillId="11" borderId="0" xfId="0" applyNumberFormat="1" applyFont="1" applyFill="1" applyAlignment="1">
      <alignment horizontal="right" vertical="center"/>
    </xf>
    <xf numFmtId="170" fontId="24" fillId="11" borderId="0" xfId="0" applyNumberFormat="1" applyFont="1" applyFill="1" applyAlignment="1">
      <alignment horizontal="right" vertical="center"/>
    </xf>
    <xf numFmtId="170" fontId="24" fillId="0" borderId="0" xfId="0" applyNumberFormat="1" applyFont="1" applyAlignment="1">
      <alignment horizontal="right" vertical="center"/>
    </xf>
    <xf numFmtId="172" fontId="24" fillId="11" borderId="0" xfId="0" applyNumberFormat="1" applyFont="1" applyFill="1" applyAlignment="1">
      <alignment horizontal="right" vertical="center"/>
    </xf>
    <xf numFmtId="3" fontId="24" fillId="11" borderId="0" xfId="0" applyNumberFormat="1" applyFont="1" applyFill="1" applyAlignment="1">
      <alignment horizontal="right" vertical="center"/>
    </xf>
    <xf numFmtId="173" fontId="24" fillId="11" borderId="0" xfId="0" applyNumberFormat="1" applyFont="1" applyFill="1" applyAlignment="1">
      <alignment horizontal="right" vertical="center"/>
    </xf>
    <xf numFmtId="174" fontId="24" fillId="11" borderId="0" xfId="0" applyNumberFormat="1" applyFont="1" applyFill="1" applyAlignment="1">
      <alignment horizontal="right" vertical="center"/>
    </xf>
    <xf numFmtId="180" fontId="24" fillId="11" borderId="0" xfId="0" applyNumberFormat="1" applyFont="1" applyFill="1" applyAlignment="1">
      <alignment horizontal="right" vertical="center"/>
    </xf>
    <xf numFmtId="0" fontId="17" fillId="0" borderId="33" xfId="0" applyFont="1" applyBorder="1" applyAlignment="1">
      <alignment horizontal="center" vertical="center"/>
    </xf>
    <xf numFmtId="0" fontId="27" fillId="0" borderId="33" xfId="0" applyFont="1" applyBorder="1" applyAlignment="1">
      <alignment horizontal="center" vertical="center"/>
    </xf>
    <xf numFmtId="0" fontId="31" fillId="0" borderId="34" xfId="0" applyFont="1" applyBorder="1" applyAlignment="1">
      <alignment horizontal="left" vertical="center"/>
    </xf>
    <xf numFmtId="0" fontId="0" fillId="0" borderId="34" xfId="0" applyBorder="1"/>
    <xf numFmtId="0" fontId="71" fillId="0" borderId="34" xfId="0" applyFont="1" applyBorder="1" applyAlignment="1">
      <alignment horizontal="center" vertical="center"/>
    </xf>
    <xf numFmtId="170" fontId="40" fillId="11" borderId="34" xfId="0" applyNumberFormat="1" applyFont="1" applyFill="1" applyBorder="1" applyAlignment="1">
      <alignment horizontal="right" vertical="center"/>
    </xf>
    <xf numFmtId="0" fontId="72" fillId="0" borderId="0" xfId="0" applyFont="1" applyAlignment="1">
      <alignment horizontal="center" vertical="center"/>
    </xf>
    <xf numFmtId="170" fontId="40" fillId="11" borderId="0" xfId="0" applyNumberFormat="1" applyFont="1" applyFill="1" applyAlignment="1">
      <alignment horizontal="right" vertical="center"/>
    </xf>
    <xf numFmtId="0" fontId="73" fillId="0" borderId="0" xfId="0" applyFont="1" applyAlignment="1">
      <alignment horizontal="center" vertical="center"/>
    </xf>
    <xf numFmtId="169" fontId="24" fillId="0" borderId="0" xfId="0" applyNumberFormat="1" applyFont="1" applyAlignment="1">
      <alignment horizontal="right" vertical="center"/>
    </xf>
    <xf numFmtId="3" fontId="24" fillId="0" borderId="0" xfId="0" applyNumberFormat="1" applyFont="1" applyAlignment="1">
      <alignment horizontal="right" vertical="center"/>
    </xf>
    <xf numFmtId="169" fontId="21" fillId="0" borderId="0" xfId="0" applyNumberFormat="1" applyFont="1" applyAlignment="1">
      <alignment horizontal="right" vertical="center"/>
    </xf>
    <xf numFmtId="0" fontId="28" fillId="0" borderId="7" xfId="0" applyFont="1" applyBorder="1" applyAlignment="1">
      <alignment horizontal="left" vertical="center"/>
    </xf>
    <xf numFmtId="0" fontId="0" fillId="0" borderId="7" xfId="0" applyBorder="1"/>
    <xf numFmtId="169" fontId="21" fillId="0" borderId="7" xfId="0" applyNumberFormat="1" applyFont="1" applyBorder="1" applyAlignment="1">
      <alignment horizontal="right" vertical="center"/>
    </xf>
    <xf numFmtId="0" fontId="28" fillId="0" borderId="8" xfId="0" applyFont="1" applyBorder="1" applyAlignment="1">
      <alignment horizontal="left" vertical="center"/>
    </xf>
    <xf numFmtId="0" fontId="0" fillId="0" borderId="8" xfId="0" applyBorder="1"/>
    <xf numFmtId="0" fontId="22" fillId="0" borderId="8" xfId="0" applyFont="1" applyBorder="1" applyAlignment="1">
      <alignment horizontal="center" vertical="center"/>
    </xf>
    <xf numFmtId="169" fontId="29" fillId="0" borderId="8" xfId="0" applyNumberFormat="1" applyFont="1" applyBorder="1" applyAlignment="1">
      <alignment horizontal="right" vertical="center"/>
    </xf>
    <xf numFmtId="170" fontId="21" fillId="0" borderId="0" xfId="0" applyNumberFormat="1" applyFont="1" applyAlignment="1">
      <alignment horizontal="right" vertical="center"/>
    </xf>
    <xf numFmtId="181" fontId="24" fillId="0" borderId="0" xfId="0" applyNumberFormat="1" applyFont="1" applyAlignment="1">
      <alignment horizontal="right" vertical="center"/>
    </xf>
    <xf numFmtId="3" fontId="21" fillId="0" borderId="0" xfId="0" applyNumberFormat="1" applyFont="1" applyAlignment="1">
      <alignment horizontal="right" vertical="center"/>
    </xf>
    <xf numFmtId="169" fontId="24" fillId="0" borderId="1" xfId="0" applyNumberFormat="1" applyFont="1" applyBorder="1" applyAlignment="1">
      <alignment horizontal="right" vertical="center"/>
    </xf>
    <xf numFmtId="169" fontId="21" fillId="0" borderId="1" xfId="0" applyNumberFormat="1" applyFont="1" applyBorder="1" applyAlignment="1">
      <alignment horizontal="right" vertical="center"/>
    </xf>
    <xf numFmtId="0" fontId="28" fillId="0" borderId="9" xfId="0" applyFont="1" applyBorder="1" applyAlignment="1">
      <alignment horizontal="left" vertical="center"/>
    </xf>
    <xf numFmtId="0" fontId="0" fillId="0" borderId="9" xfId="0" applyBorder="1"/>
    <xf numFmtId="0" fontId="22" fillId="0" borderId="9" xfId="0" applyFont="1" applyBorder="1" applyAlignment="1">
      <alignment horizontal="center" vertical="center"/>
    </xf>
    <xf numFmtId="169" fontId="29" fillId="0" borderId="9" xfId="0" applyNumberFormat="1" applyFont="1" applyBorder="1" applyAlignment="1">
      <alignment horizontal="right" vertical="center"/>
    </xf>
    <xf numFmtId="0" fontId="22" fillId="0" borderId="7" xfId="0" applyFont="1" applyBorder="1" applyAlignment="1">
      <alignment horizontal="center" vertical="center"/>
    </xf>
    <xf numFmtId="170" fontId="30" fillId="0" borderId="0" xfId="0" applyNumberFormat="1" applyFont="1" applyAlignment="1">
      <alignment horizontal="right" vertical="center"/>
    </xf>
    <xf numFmtId="0" fontId="28" fillId="0" borderId="0" xfId="0" applyFont="1" applyAlignment="1">
      <alignment horizontal="left" vertical="center"/>
    </xf>
    <xf numFmtId="172" fontId="21" fillId="0" borderId="0" xfId="0" applyNumberFormat="1" applyFont="1" applyAlignment="1">
      <alignment horizontal="right" vertical="center"/>
    </xf>
    <xf numFmtId="174" fontId="30" fillId="0" borderId="0" xfId="0" applyNumberFormat="1" applyFont="1" applyAlignment="1">
      <alignment horizontal="right" vertical="center"/>
    </xf>
    <xf numFmtId="0" fontId="31" fillId="0" borderId="0" xfId="0" applyFont="1" applyAlignment="1">
      <alignment horizontal="left" vertical="center"/>
    </xf>
    <xf numFmtId="0" fontId="32" fillId="8" borderId="10" xfId="0" applyFont="1" applyFill="1" applyBorder="1" applyAlignment="1">
      <alignment horizontal="center" vertical="center"/>
    </xf>
    <xf numFmtId="169" fontId="33" fillId="0" borderId="9" xfId="0" applyNumberFormat="1" applyFont="1" applyBorder="1" applyAlignment="1">
      <alignment horizontal="right" vertical="center"/>
    </xf>
    <xf numFmtId="169" fontId="24" fillId="0" borderId="7" xfId="0" applyNumberFormat="1" applyFont="1" applyBorder="1" applyAlignment="1">
      <alignment horizontal="right" vertical="center"/>
    </xf>
    <xf numFmtId="0" fontId="34" fillId="0" borderId="0" xfId="0" applyFont="1" applyAlignment="1">
      <alignment horizontal="left" vertical="center"/>
    </xf>
    <xf numFmtId="164" fontId="32" fillId="8" borderId="10" xfId="0" applyNumberFormat="1" applyFont="1" applyFill="1" applyBorder="1" applyAlignment="1">
      <alignment horizontal="center" vertical="center"/>
    </xf>
    <xf numFmtId="174" fontId="23" fillId="0" borderId="0" xfId="0" applyNumberFormat="1" applyFont="1" applyAlignment="1">
      <alignment horizontal="right" vertical="center"/>
    </xf>
    <xf numFmtId="175" fontId="23" fillId="0" borderId="0" xfId="0" applyNumberFormat="1" applyFont="1" applyAlignment="1">
      <alignment horizontal="right" vertical="center"/>
    </xf>
    <xf numFmtId="0" fontId="0" fillId="0" borderId="6" xfId="0" applyBorder="1"/>
    <xf numFmtId="0" fontId="17" fillId="0" borderId="6" xfId="0" applyFont="1" applyBorder="1"/>
    <xf numFmtId="0" fontId="17" fillId="0" borderId="6" xfId="0" applyFont="1" applyBorder="1" applyAlignment="1">
      <alignment horizontal="right" vertical="center"/>
    </xf>
    <xf numFmtId="0" fontId="35" fillId="0" borderId="6" xfId="0" applyFont="1" applyBorder="1" applyAlignment="1">
      <alignment horizontal="center"/>
    </xf>
    <xf numFmtId="0" fontId="17" fillId="0" borderId="6" xfId="0" applyFont="1" applyBorder="1" applyAlignment="1">
      <alignment horizontal="center"/>
    </xf>
    <xf numFmtId="0" fontId="22" fillId="0" borderId="6" xfId="0" applyFont="1" applyBorder="1" applyAlignment="1">
      <alignment horizontal="right" vertical="center"/>
    </xf>
    <xf numFmtId="170" fontId="36" fillId="0" borderId="6" xfId="0" applyNumberFormat="1" applyFont="1" applyBorder="1" applyAlignment="1">
      <alignment horizontal="right" vertical="center"/>
    </xf>
    <xf numFmtId="170" fontId="68" fillId="0" borderId="6" xfId="0" applyNumberFormat="1" applyFont="1" applyBorder="1" applyAlignment="1">
      <alignment horizontal="right" vertical="center"/>
    </xf>
    <xf numFmtId="0" fontId="22" fillId="0" borderId="6" xfId="0" applyFont="1" applyBorder="1"/>
    <xf numFmtId="0" fontId="18" fillId="0" borderId="6" xfId="0" applyFont="1" applyBorder="1" applyAlignment="1">
      <alignment horizontal="left" vertical="top"/>
    </xf>
    <xf numFmtId="0" fontId="37" fillId="8" borderId="11" xfId="0" applyFont="1" applyFill="1" applyBorder="1" applyAlignment="1">
      <alignment horizontal="left" vertical="center" wrapText="1"/>
    </xf>
    <xf numFmtId="0" fontId="37" fillId="8" borderId="11" xfId="0" applyFont="1" applyFill="1" applyBorder="1" applyAlignment="1">
      <alignment horizontal="center" vertical="center" wrapText="1"/>
    </xf>
    <xf numFmtId="0" fontId="38" fillId="12" borderId="38" xfId="0" applyFont="1" applyFill="1" applyBorder="1" applyAlignment="1">
      <alignment horizontal="left" vertical="center"/>
    </xf>
    <xf numFmtId="0" fontId="39" fillId="12" borderId="6" xfId="0" applyFont="1" applyFill="1" applyBorder="1" applyAlignment="1">
      <alignment horizontal="center" vertical="center"/>
    </xf>
    <xf numFmtId="172" fontId="40" fillId="12" borderId="6" xfId="0" applyNumberFormat="1" applyFont="1" applyFill="1" applyBorder="1" applyAlignment="1">
      <alignment horizontal="right" vertical="center"/>
    </xf>
    <xf numFmtId="169" fontId="40" fillId="12" borderId="6" xfId="0" applyNumberFormat="1" applyFont="1" applyFill="1" applyBorder="1" applyAlignment="1">
      <alignment horizontal="right" vertical="center"/>
    </xf>
    <xf numFmtId="175" fontId="38" fillId="12" borderId="6" xfId="0" applyNumberFormat="1" applyFont="1" applyFill="1" applyBorder="1" applyAlignment="1">
      <alignment horizontal="right" vertical="center"/>
    </xf>
    <xf numFmtId="170" fontId="38" fillId="12" borderId="0" xfId="0" applyNumberFormat="1" applyFont="1" applyFill="1" applyAlignment="1">
      <alignment horizontal="right" vertical="center"/>
    </xf>
    <xf numFmtId="0" fontId="38" fillId="0" borderId="38" xfId="0" applyFont="1" applyBorder="1" applyAlignment="1">
      <alignment horizontal="left" vertical="center"/>
    </xf>
    <xf numFmtId="0" fontId="39" fillId="0" borderId="6" xfId="0" applyFont="1" applyBorder="1" applyAlignment="1">
      <alignment horizontal="center" vertical="center"/>
    </xf>
    <xf numFmtId="172" fontId="40" fillId="0" borderId="6" xfId="0" applyNumberFormat="1" applyFont="1" applyBorder="1" applyAlignment="1">
      <alignment horizontal="right" vertical="center"/>
    </xf>
    <xf numFmtId="169" fontId="40" fillId="0" borderId="6" xfId="0" applyNumberFormat="1" applyFont="1" applyBorder="1" applyAlignment="1">
      <alignment horizontal="right" vertical="center"/>
    </xf>
    <xf numFmtId="175" fontId="38" fillId="0" borderId="6" xfId="0" applyNumberFormat="1" applyFont="1" applyBorder="1" applyAlignment="1">
      <alignment horizontal="right" vertical="center"/>
    </xf>
    <xf numFmtId="170" fontId="38" fillId="0" borderId="0" xfId="0" applyNumberFormat="1" applyFont="1" applyAlignment="1">
      <alignment horizontal="right" vertical="center"/>
    </xf>
    <xf numFmtId="0" fontId="38" fillId="0" borderId="40" xfId="0" applyFont="1" applyBorder="1" applyAlignment="1">
      <alignment horizontal="left" vertical="center"/>
    </xf>
    <xf numFmtId="0" fontId="39" fillId="0" borderId="41" xfId="0" applyFont="1" applyBorder="1" applyAlignment="1">
      <alignment horizontal="center" vertical="center"/>
    </xf>
    <xf numFmtId="172" fontId="40" fillId="0" borderId="41" xfId="0" applyNumberFormat="1" applyFont="1" applyBorder="1" applyAlignment="1">
      <alignment horizontal="right" vertical="center"/>
    </xf>
    <xf numFmtId="169" fontId="40" fillId="0" borderId="41" xfId="0" applyNumberFormat="1" applyFont="1" applyBorder="1" applyAlignment="1">
      <alignment horizontal="right" vertical="center"/>
    </xf>
    <xf numFmtId="175" fontId="38" fillId="0" borderId="41" xfId="0" applyNumberFormat="1" applyFont="1" applyBorder="1" applyAlignment="1">
      <alignment horizontal="right" vertical="center"/>
    </xf>
    <xf numFmtId="170" fontId="38" fillId="0" borderId="42" xfId="0" applyNumberFormat="1" applyFont="1" applyBorder="1" applyAlignment="1">
      <alignment horizontal="right" vertical="center"/>
    </xf>
    <xf numFmtId="0" fontId="38" fillId="12" borderId="39" xfId="0" applyFont="1" applyFill="1" applyBorder="1" applyAlignment="1">
      <alignment horizontal="left" vertical="center"/>
    </xf>
    <xf numFmtId="0" fontId="20" fillId="0" borderId="7" xfId="0" applyFont="1" applyBorder="1" applyAlignment="1">
      <alignment horizontal="left" vertical="center"/>
    </xf>
    <xf numFmtId="0" fontId="39" fillId="0" borderId="6" xfId="0" applyFont="1" applyBorder="1" applyAlignment="1">
      <alignment horizontal="left" vertical="center"/>
    </xf>
    <xf numFmtId="175" fontId="39" fillId="0" borderId="6" xfId="0" applyNumberFormat="1" applyFont="1" applyBorder="1" applyAlignment="1">
      <alignment horizontal="right" vertical="center"/>
    </xf>
    <xf numFmtId="170" fontId="39" fillId="0" borderId="0" xfId="0" applyNumberFormat="1" applyFont="1" applyAlignment="1">
      <alignment horizontal="right" vertical="center"/>
    </xf>
    <xf numFmtId="0" fontId="31" fillId="0" borderId="6" xfId="0" applyFont="1" applyBorder="1" applyAlignment="1">
      <alignment horizontal="left" vertical="center"/>
    </xf>
    <xf numFmtId="175" fontId="31" fillId="10" borderId="6" xfId="0" applyNumberFormat="1" applyFont="1" applyFill="1" applyBorder="1" applyAlignment="1">
      <alignment horizontal="right" vertical="center"/>
    </xf>
    <xf numFmtId="170" fontId="31" fillId="10" borderId="0" xfId="0" applyNumberFormat="1" applyFont="1" applyFill="1" applyAlignment="1">
      <alignment horizontal="right" vertical="center"/>
    </xf>
    <xf numFmtId="0" fontId="31" fillId="0" borderId="4" xfId="0" applyFont="1" applyBorder="1" applyAlignment="1">
      <alignment horizontal="left" vertical="center"/>
    </xf>
    <xf numFmtId="175" fontId="31" fillId="10" borderId="4" xfId="0" applyNumberFormat="1" applyFont="1" applyFill="1" applyBorder="1" applyAlignment="1">
      <alignment horizontal="right" vertical="center"/>
    </xf>
    <xf numFmtId="170" fontId="31" fillId="10" borderId="4" xfId="0" applyNumberFormat="1" applyFont="1" applyFill="1" applyBorder="1" applyAlignment="1">
      <alignment horizontal="right" vertical="center"/>
    </xf>
    <xf numFmtId="0" fontId="31" fillId="13" borderId="13" xfId="0" applyFont="1" applyFill="1" applyBorder="1" applyAlignment="1">
      <alignment horizontal="left" vertical="center"/>
    </xf>
    <xf numFmtId="0" fontId="41" fillId="13" borderId="12" xfId="0" applyFont="1" applyFill="1" applyBorder="1" applyAlignment="1">
      <alignment horizontal="center" vertical="center"/>
    </xf>
    <xf numFmtId="172" fontId="67" fillId="13" borderId="12" xfId="0" applyNumberFormat="1" applyFont="1" applyFill="1" applyBorder="1" applyAlignment="1">
      <alignment horizontal="right" vertical="center"/>
    </xf>
    <xf numFmtId="169" fontId="18" fillId="13" borderId="12" xfId="0" applyNumberFormat="1" applyFont="1" applyFill="1" applyBorder="1" applyAlignment="1">
      <alignment horizontal="right" vertical="center"/>
    </xf>
    <xf numFmtId="169" fontId="42" fillId="13" borderId="12" xfId="0" applyNumberFormat="1" applyFont="1" applyFill="1" applyBorder="1" applyAlignment="1">
      <alignment horizontal="right" vertical="center"/>
    </xf>
    <xf numFmtId="175" fontId="18" fillId="13" borderId="12" xfId="0" applyNumberFormat="1" applyFont="1" applyFill="1" applyBorder="1" applyAlignment="1">
      <alignment horizontal="right" vertical="center"/>
    </xf>
    <xf numFmtId="170" fontId="18" fillId="13" borderId="12" xfId="0" applyNumberFormat="1" applyFont="1" applyFill="1" applyBorder="1" applyAlignment="1">
      <alignment horizontal="right" vertical="center"/>
    </xf>
    <xf numFmtId="0" fontId="22" fillId="0" borderId="6" xfId="0" applyFont="1" applyBorder="1" applyAlignment="1">
      <alignment horizontal="left" vertical="center"/>
    </xf>
    <xf numFmtId="3" fontId="43" fillId="0" borderId="6" xfId="0" applyNumberFormat="1" applyFont="1" applyBorder="1" applyAlignment="1">
      <alignment horizontal="right" vertical="center"/>
    </xf>
    <xf numFmtId="0" fontId="20" fillId="10" borderId="4" xfId="0" applyFont="1" applyFill="1" applyBorder="1" applyAlignment="1">
      <alignment horizontal="left" vertical="center"/>
    </xf>
    <xf numFmtId="0" fontId="3" fillId="10" borderId="4" xfId="0" applyFont="1" applyFill="1" applyBorder="1"/>
    <xf numFmtId="169" fontId="38" fillId="0" borderId="6" xfId="0" applyNumberFormat="1" applyFont="1" applyBorder="1" applyAlignment="1">
      <alignment horizontal="right" vertical="center"/>
    </xf>
    <xf numFmtId="0" fontId="12" fillId="0" borderId="6" xfId="0" applyFont="1" applyBorder="1"/>
    <xf numFmtId="0" fontId="16" fillId="0" borderId="6" xfId="0" applyFont="1" applyBorder="1" applyAlignment="1">
      <alignment horizontal="right" vertical="center"/>
    </xf>
    <xf numFmtId="172" fontId="18" fillId="0" borderId="6" xfId="0" applyNumberFormat="1" applyFont="1" applyBorder="1" applyAlignment="1">
      <alignment horizontal="right" vertical="center"/>
    </xf>
    <xf numFmtId="0" fontId="0" fillId="8" borderId="11" xfId="0" applyFill="1" applyBorder="1"/>
    <xf numFmtId="0" fontId="45" fillId="0" borderId="14" xfId="0" applyFont="1" applyBorder="1" applyAlignment="1">
      <alignment horizontal="left" vertical="center"/>
    </xf>
    <xf numFmtId="172" fontId="38" fillId="0" borderId="14" xfId="0" applyNumberFormat="1" applyFont="1" applyBorder="1" applyAlignment="1">
      <alignment horizontal="right" vertical="center"/>
    </xf>
    <xf numFmtId="172" fontId="15" fillId="8" borderId="14" xfId="0" applyNumberFormat="1" applyFont="1" applyFill="1" applyBorder="1" applyAlignment="1">
      <alignment horizontal="right" vertical="center"/>
    </xf>
    <xf numFmtId="172" fontId="15" fillId="14" borderId="14" xfId="0" applyNumberFormat="1" applyFont="1" applyFill="1" applyBorder="1" applyAlignment="1">
      <alignment horizontal="right" vertical="center"/>
    </xf>
    <xf numFmtId="0" fontId="18" fillId="12" borderId="14" xfId="0" applyFont="1" applyFill="1" applyBorder="1" applyAlignment="1">
      <alignment horizontal="left" vertical="top" wrapText="1"/>
    </xf>
    <xf numFmtId="0" fontId="38" fillId="12" borderId="14" xfId="0" applyFont="1" applyFill="1" applyBorder="1" applyAlignment="1">
      <alignment horizontal="left" vertical="top" wrapText="1"/>
    </xf>
    <xf numFmtId="0" fontId="46" fillId="12" borderId="14" xfId="0" applyFont="1" applyFill="1" applyBorder="1" applyAlignment="1">
      <alignment horizontal="left" vertical="top" wrapText="1"/>
    </xf>
    <xf numFmtId="169" fontId="40" fillId="12" borderId="14" xfId="0" applyNumberFormat="1" applyFont="1" applyFill="1" applyBorder="1" applyAlignment="1">
      <alignment horizontal="right" vertical="top"/>
    </xf>
    <xf numFmtId="169" fontId="38" fillId="12" borderId="14" xfId="0" applyNumberFormat="1" applyFont="1" applyFill="1" applyBorder="1" applyAlignment="1">
      <alignment horizontal="right" vertical="top"/>
    </xf>
    <xf numFmtId="175" fontId="38" fillId="12" borderId="14" xfId="0" applyNumberFormat="1" applyFont="1" applyFill="1" applyBorder="1" applyAlignment="1">
      <alignment horizontal="right" vertical="top"/>
    </xf>
    <xf numFmtId="0" fontId="22" fillId="12" borderId="14" xfId="0" applyFont="1" applyFill="1" applyBorder="1" applyAlignment="1">
      <alignment horizontal="left" vertical="top" wrapText="1"/>
    </xf>
    <xf numFmtId="0" fontId="18" fillId="0" borderId="14" xfId="0" applyFont="1" applyBorder="1" applyAlignment="1">
      <alignment horizontal="left" vertical="top" wrapText="1"/>
    </xf>
    <xf numFmtId="0" fontId="38" fillId="0" borderId="14" xfId="0" applyFont="1" applyBorder="1" applyAlignment="1">
      <alignment horizontal="left" vertical="top" wrapText="1"/>
    </xf>
    <xf numFmtId="0" fontId="46" fillId="0" borderId="14" xfId="0" applyFont="1" applyBorder="1" applyAlignment="1">
      <alignment horizontal="left" vertical="top" wrapText="1"/>
    </xf>
    <xf numFmtId="169" fontId="40" fillId="0" borderId="14" xfId="0" applyNumberFormat="1" applyFont="1" applyBorder="1" applyAlignment="1">
      <alignment horizontal="right" vertical="top"/>
    </xf>
    <xf numFmtId="169" fontId="38" fillId="0" borderId="14" xfId="0" applyNumberFormat="1" applyFont="1" applyBorder="1" applyAlignment="1">
      <alignment horizontal="right" vertical="top"/>
    </xf>
    <xf numFmtId="175" fontId="38" fillId="0" borderId="14" xfId="0" applyNumberFormat="1" applyFont="1" applyBorder="1" applyAlignment="1">
      <alignment horizontal="right" vertical="top"/>
    </xf>
    <xf numFmtId="0" fontId="22" fillId="0" borderId="14" xfId="0" applyFont="1" applyBorder="1" applyAlignment="1">
      <alignment horizontal="left" vertical="top" wrapText="1"/>
    </xf>
    <xf numFmtId="169" fontId="38" fillId="10" borderId="0" xfId="0" applyNumberFormat="1" applyFont="1" applyFill="1" applyAlignment="1">
      <alignment horizontal="right" vertical="center"/>
    </xf>
    <xf numFmtId="0" fontId="21" fillId="0" borderId="16" xfId="0" applyFont="1" applyBorder="1" applyAlignment="1">
      <alignment horizontal="left" vertical="center"/>
    </xf>
    <xf numFmtId="0" fontId="0" fillId="0" borderId="17" xfId="0" applyBorder="1"/>
    <xf numFmtId="173" fontId="23" fillId="11" borderId="18" xfId="0" applyNumberFormat="1" applyFont="1" applyFill="1" applyBorder="1" applyAlignment="1">
      <alignment horizontal="right" vertical="center"/>
    </xf>
    <xf numFmtId="174" fontId="23" fillId="11" borderId="18" xfId="0" applyNumberFormat="1" applyFont="1" applyFill="1" applyBorder="1" applyAlignment="1">
      <alignment horizontal="right" vertical="center"/>
    </xf>
    <xf numFmtId="173" fontId="21" fillId="0" borderId="18" xfId="0" applyNumberFormat="1" applyFont="1" applyBorder="1" applyAlignment="1">
      <alignment horizontal="right" vertical="center"/>
    </xf>
    <xf numFmtId="173" fontId="23" fillId="0" borderId="18" xfId="0" applyNumberFormat="1" applyFont="1" applyBorder="1" applyAlignment="1">
      <alignment horizontal="right" vertical="center"/>
    </xf>
    <xf numFmtId="169" fontId="23" fillId="0" borderId="18" xfId="0" applyNumberFormat="1" applyFont="1" applyBorder="1" applyAlignment="1">
      <alignment horizontal="right" vertical="center"/>
    </xf>
    <xf numFmtId="169" fontId="21" fillId="0" borderId="18" xfId="0" applyNumberFormat="1" applyFont="1" applyBorder="1" applyAlignment="1">
      <alignment horizontal="right" vertical="center"/>
    </xf>
    <xf numFmtId="0" fontId="28" fillId="0" borderId="19" xfId="0" applyFont="1" applyBorder="1" applyAlignment="1">
      <alignment horizontal="left" vertical="center"/>
    </xf>
    <xf numFmtId="173" fontId="15" fillId="14" borderId="18" xfId="0" applyNumberFormat="1" applyFont="1" applyFill="1" applyBorder="1" applyAlignment="1">
      <alignment horizontal="right" vertical="center"/>
    </xf>
    <xf numFmtId="0" fontId="28" fillId="0" borderId="20" xfId="0" applyFont="1" applyBorder="1" applyAlignment="1">
      <alignment horizontal="left" vertical="center"/>
    </xf>
    <xf numFmtId="0" fontId="0" fillId="0" borderId="21" xfId="0" applyBorder="1"/>
    <xf numFmtId="173" fontId="15" fillId="8" borderId="22" xfId="0" applyNumberFormat="1" applyFont="1" applyFill="1" applyBorder="1" applyAlignment="1">
      <alignment horizontal="right" vertical="center"/>
    </xf>
    <xf numFmtId="173" fontId="21" fillId="0" borderId="0" xfId="0" applyNumberFormat="1" applyFont="1" applyAlignment="1">
      <alignment horizontal="right" vertical="center"/>
    </xf>
    <xf numFmtId="0" fontId="21" fillId="4" borderId="0" xfId="0" applyFont="1" applyFill="1" applyAlignment="1">
      <alignment horizontal="left" vertical="center"/>
    </xf>
    <xf numFmtId="173" fontId="21" fillId="4" borderId="0" xfId="0" applyNumberFormat="1" applyFont="1" applyFill="1" applyAlignment="1">
      <alignment horizontal="right" vertical="center"/>
    </xf>
    <xf numFmtId="169" fontId="29" fillId="3" borderId="9" xfId="0" applyNumberFormat="1" applyFont="1" applyFill="1" applyBorder="1" applyAlignment="1">
      <alignment horizontal="right" vertical="center"/>
    </xf>
    <xf numFmtId="167" fontId="6" fillId="0" borderId="9" xfId="0" applyNumberFormat="1" applyFont="1" applyBorder="1" applyAlignment="1">
      <alignment vertical="center"/>
    </xf>
    <xf numFmtId="1" fontId="24" fillId="0" borderId="0" xfId="0" applyNumberFormat="1" applyFont="1" applyAlignment="1">
      <alignment horizontal="right" vertical="center"/>
    </xf>
    <xf numFmtId="1" fontId="21" fillId="0" borderId="0" xfId="0" applyNumberFormat="1" applyFont="1" applyAlignment="1">
      <alignment horizontal="right" vertical="center"/>
    </xf>
    <xf numFmtId="167" fontId="21" fillId="0" borderId="0" xfId="0" applyNumberFormat="1" applyFont="1" applyAlignment="1">
      <alignment horizontal="right" vertical="center"/>
    </xf>
    <xf numFmtId="167" fontId="21" fillId="3" borderId="0" xfId="0" applyNumberFormat="1" applyFont="1" applyFill="1" applyAlignment="1">
      <alignment horizontal="right" vertical="center"/>
    </xf>
    <xf numFmtId="169" fontId="21" fillId="4" borderId="0" xfId="0" applyNumberFormat="1" applyFont="1" applyFill="1" applyAlignment="1">
      <alignment horizontal="right" vertical="center"/>
    </xf>
    <xf numFmtId="169" fontId="15" fillId="8" borderId="0" xfId="0" applyNumberFormat="1" applyFont="1" applyFill="1" applyAlignment="1">
      <alignment horizontal="right" vertical="center"/>
    </xf>
    <xf numFmtId="169" fontId="24" fillId="4" borderId="0" xfId="0" applyNumberFormat="1" applyFont="1" applyFill="1" applyAlignment="1">
      <alignment horizontal="right" vertical="center"/>
    </xf>
    <xf numFmtId="169" fontId="23" fillId="3" borderId="0" xfId="0" applyNumberFormat="1" applyFont="1" applyFill="1" applyAlignment="1">
      <alignment horizontal="right" vertical="center"/>
    </xf>
    <xf numFmtId="172" fontId="15" fillId="14" borderId="0" xfId="0" applyNumberFormat="1" applyFont="1" applyFill="1" applyAlignment="1">
      <alignment horizontal="right" vertical="center"/>
    </xf>
    <xf numFmtId="172" fontId="23" fillId="0" borderId="0" xfId="0" applyNumberFormat="1" applyFont="1" applyAlignment="1">
      <alignment horizontal="right" vertical="center"/>
    </xf>
    <xf numFmtId="0" fontId="2" fillId="10" borderId="4" xfId="0" applyFont="1" applyFill="1" applyBorder="1" applyAlignment="1">
      <alignment vertical="center"/>
    </xf>
    <xf numFmtId="0" fontId="10" fillId="10" borderId="4" xfId="0" applyFont="1" applyFill="1" applyBorder="1" applyAlignment="1">
      <alignment horizontal="center" vertical="center"/>
    </xf>
    <xf numFmtId="0" fontId="17" fillId="6" borderId="0" xfId="0" applyFont="1" applyFill="1" applyAlignment="1">
      <alignment horizontal="left" vertical="center"/>
    </xf>
    <xf numFmtId="169" fontId="32" fillId="8" borderId="0" xfId="0" applyNumberFormat="1" applyFont="1" applyFill="1" applyAlignment="1">
      <alignment horizontal="center" vertical="center"/>
    </xf>
    <xf numFmtId="170" fontId="32" fillId="8" borderId="11" xfId="0" applyNumberFormat="1" applyFont="1" applyFill="1" applyBorder="1" applyAlignment="1">
      <alignment horizontal="center" vertical="center"/>
    </xf>
    <xf numFmtId="0" fontId="20" fillId="0" borderId="0" xfId="0" applyFont="1" applyAlignment="1">
      <alignment horizontal="left" vertical="center"/>
    </xf>
    <xf numFmtId="173" fontId="32" fillId="8" borderId="0" xfId="0" applyNumberFormat="1" applyFont="1" applyFill="1" applyAlignment="1">
      <alignment horizontal="center" vertical="center"/>
    </xf>
    <xf numFmtId="169" fontId="38" fillId="0" borderId="23" xfId="0" applyNumberFormat="1" applyFont="1" applyBorder="1" applyAlignment="1">
      <alignment horizontal="right" vertical="center"/>
    </xf>
    <xf numFmtId="169" fontId="47" fillId="14" borderId="24" xfId="0" applyNumberFormat="1" applyFont="1" applyFill="1" applyBorder="1" applyAlignment="1">
      <alignment horizontal="right" vertical="center"/>
    </xf>
    <xf numFmtId="170" fontId="31" fillId="0" borderId="14" xfId="0" applyNumberFormat="1" applyFont="1" applyBorder="1" applyAlignment="1">
      <alignment horizontal="right" vertical="center"/>
    </xf>
    <xf numFmtId="0" fontId="17" fillId="2" borderId="0" xfId="0" applyFont="1" applyFill="1" applyAlignment="1">
      <alignment horizontal="left" vertical="center"/>
    </xf>
    <xf numFmtId="172" fontId="32" fillId="8" borderId="0" xfId="0" applyNumberFormat="1" applyFont="1" applyFill="1" applyAlignment="1">
      <alignment horizontal="center" vertical="center"/>
    </xf>
    <xf numFmtId="0" fontId="25" fillId="0" borderId="14" xfId="0" applyFont="1" applyBorder="1" applyAlignment="1">
      <alignment horizontal="left" vertical="center"/>
    </xf>
    <xf numFmtId="172" fontId="38" fillId="0" borderId="23" xfId="0" applyNumberFormat="1" applyFont="1" applyBorder="1" applyAlignment="1">
      <alignment horizontal="right" vertical="center"/>
    </xf>
    <xf numFmtId="172" fontId="47" fillId="14" borderId="24" xfId="0" applyNumberFormat="1" applyFont="1" applyFill="1" applyBorder="1" applyAlignment="1">
      <alignment horizontal="right" vertical="center"/>
    </xf>
    <xf numFmtId="0" fontId="37" fillId="8" borderId="11" xfId="0" applyFont="1" applyFill="1" applyBorder="1" applyAlignment="1">
      <alignment horizontal="center" vertical="center"/>
    </xf>
    <xf numFmtId="0" fontId="28" fillId="0" borderId="14" xfId="0" applyFont="1" applyBorder="1" applyAlignment="1">
      <alignment horizontal="left" vertical="center"/>
    </xf>
    <xf numFmtId="172" fontId="21" fillId="0" borderId="14" xfId="0" applyNumberFormat="1" applyFont="1" applyBorder="1" applyAlignment="1">
      <alignment horizontal="center" vertical="center"/>
    </xf>
    <xf numFmtId="172" fontId="47" fillId="14" borderId="14" xfId="0" applyNumberFormat="1" applyFont="1" applyFill="1" applyBorder="1" applyAlignment="1">
      <alignment horizontal="center" vertical="center"/>
    </xf>
    <xf numFmtId="0" fontId="48" fillId="0" borderId="14" xfId="0" applyFont="1" applyBorder="1" applyAlignment="1">
      <alignment horizontal="left" vertical="center"/>
    </xf>
    <xf numFmtId="172" fontId="23" fillId="0" borderId="14" xfId="0" applyNumberFormat="1" applyFont="1" applyBorder="1" applyAlignment="1">
      <alignment horizontal="center" vertical="center"/>
    </xf>
    <xf numFmtId="172" fontId="47" fillId="8" borderId="14" xfId="0" applyNumberFormat="1" applyFont="1" applyFill="1" applyBorder="1" applyAlignment="1">
      <alignment horizontal="center" vertical="center"/>
    </xf>
    <xf numFmtId="0" fontId="25" fillId="0" borderId="14" xfId="0" applyFont="1" applyBorder="1" applyAlignment="1">
      <alignment horizontal="center" vertical="center"/>
    </xf>
    <xf numFmtId="0" fontId="49" fillId="0" borderId="14" xfId="0" applyFont="1" applyBorder="1" applyAlignment="1">
      <alignment horizontal="left" vertical="center"/>
    </xf>
    <xf numFmtId="0" fontId="17" fillId="0" borderId="0" xfId="0" applyFont="1"/>
    <xf numFmtId="0" fontId="17" fillId="0" borderId="0" xfId="0" applyFont="1" applyAlignment="1">
      <alignment horizontal="left" vertical="center" wrapText="1"/>
    </xf>
    <xf numFmtId="0" fontId="17" fillId="0" borderId="0" xfId="0" applyFont="1" applyAlignment="1">
      <alignment horizontal="center" vertical="center" wrapText="1"/>
    </xf>
    <xf numFmtId="2" fontId="50" fillId="0" borderId="0" xfId="0" applyNumberFormat="1" applyFont="1"/>
    <xf numFmtId="0" fontId="38" fillId="0" borderId="0" xfId="0" applyFont="1" applyAlignment="1">
      <alignment horizontal="left" vertical="center"/>
    </xf>
    <xf numFmtId="176" fontId="38" fillId="0" borderId="0" xfId="0" applyNumberFormat="1" applyFont="1" applyAlignment="1">
      <alignment horizontal="right" vertical="center"/>
    </xf>
    <xf numFmtId="176" fontId="40" fillId="0" borderId="0" xfId="0" applyNumberFormat="1" applyFont="1" applyAlignment="1">
      <alignment horizontal="right" vertical="center"/>
    </xf>
    <xf numFmtId="0" fontId="44" fillId="0" borderId="0" xfId="0" applyFont="1" applyAlignment="1">
      <alignment vertical="center"/>
    </xf>
    <xf numFmtId="0" fontId="21" fillId="0" borderId="14" xfId="0" applyFont="1" applyBorder="1" applyAlignment="1">
      <alignment horizontal="left" vertical="center"/>
    </xf>
    <xf numFmtId="169" fontId="23" fillId="0" borderId="14" xfId="0" applyNumberFormat="1" applyFont="1" applyBorder="1" applyAlignment="1">
      <alignment horizontal="center" vertical="center"/>
    </xf>
    <xf numFmtId="175" fontId="23" fillId="0" borderId="14" xfId="0" applyNumberFormat="1" applyFont="1" applyBorder="1" applyAlignment="1">
      <alignment horizontal="center" vertical="center"/>
    </xf>
    <xf numFmtId="169" fontId="21" fillId="0" borderId="14" xfId="0" applyNumberFormat="1" applyFont="1" applyBorder="1" applyAlignment="1">
      <alignment horizontal="center" vertical="center"/>
    </xf>
    <xf numFmtId="167" fontId="21" fillId="0" borderId="14" xfId="0" applyNumberFormat="1" applyFont="1" applyBorder="1" applyAlignment="1">
      <alignment horizontal="center" vertical="center"/>
    </xf>
    <xf numFmtId="169" fontId="76" fillId="10" borderId="14" xfId="0" applyNumberFormat="1" applyFont="1" applyFill="1" applyBorder="1" applyAlignment="1">
      <alignment horizontal="center" vertical="center"/>
    </xf>
    <xf numFmtId="172" fontId="15" fillId="8" borderId="14" xfId="0" applyNumberFormat="1" applyFont="1" applyFill="1" applyBorder="1" applyAlignment="1">
      <alignment horizontal="center" vertical="center"/>
    </xf>
    <xf numFmtId="172" fontId="29" fillId="0" borderId="0" xfId="0" applyNumberFormat="1" applyFont="1" applyAlignment="1">
      <alignment horizontal="center" vertical="center"/>
    </xf>
    <xf numFmtId="170" fontId="49" fillId="0" borderId="0" xfId="0" applyNumberFormat="1" applyFont="1" applyAlignment="1">
      <alignment horizontal="center" vertical="center"/>
    </xf>
    <xf numFmtId="174" fontId="21" fillId="0" borderId="0" xfId="0" applyNumberFormat="1" applyFont="1" applyAlignment="1">
      <alignment horizontal="right" vertical="center"/>
    </xf>
    <xf numFmtId="174" fontId="29" fillId="0" borderId="0" xfId="0" applyNumberFormat="1" applyFont="1" applyAlignment="1">
      <alignment horizontal="right" vertical="center"/>
    </xf>
    <xf numFmtId="173" fontId="21" fillId="0" borderId="0" xfId="0" applyNumberFormat="1" applyFont="1" applyAlignment="1">
      <alignment horizontal="center" vertical="center"/>
    </xf>
    <xf numFmtId="173" fontId="29" fillId="0" borderId="0" xfId="0" applyNumberFormat="1" applyFont="1" applyAlignment="1">
      <alignment horizontal="center" vertical="center"/>
    </xf>
    <xf numFmtId="0" fontId="22" fillId="0" borderId="14" xfId="0" applyFont="1" applyBorder="1" applyAlignment="1">
      <alignment horizontal="center" vertical="center"/>
    </xf>
    <xf numFmtId="170" fontId="21" fillId="0" borderId="14" xfId="0" applyNumberFormat="1" applyFont="1" applyBorder="1" applyAlignment="1">
      <alignment horizontal="center" vertical="center"/>
    </xf>
    <xf numFmtId="0" fontId="21" fillId="0" borderId="33" xfId="0" applyFont="1" applyBorder="1" applyAlignment="1">
      <alignment horizontal="left" vertical="center"/>
    </xf>
    <xf numFmtId="0" fontId="22" fillId="0" borderId="33" xfId="0" applyFont="1" applyBorder="1" applyAlignment="1">
      <alignment horizontal="center" vertical="center"/>
    </xf>
    <xf numFmtId="169" fontId="21" fillId="0" borderId="33" xfId="0" applyNumberFormat="1" applyFont="1" applyBorder="1" applyAlignment="1">
      <alignment horizontal="center" vertical="center"/>
    </xf>
    <xf numFmtId="169" fontId="29" fillId="10" borderId="14" xfId="0" applyNumberFormat="1" applyFont="1" applyFill="1" applyBorder="1" applyAlignment="1">
      <alignment horizontal="center" vertical="center"/>
    </xf>
    <xf numFmtId="172" fontId="77" fillId="14" borderId="14" xfId="0" applyNumberFormat="1" applyFont="1" applyFill="1" applyBorder="1" applyAlignment="1">
      <alignment horizontal="center" vertical="center"/>
    </xf>
    <xf numFmtId="170" fontId="29" fillId="0" borderId="14" xfId="0" applyNumberFormat="1" applyFont="1" applyBorder="1" applyAlignment="1">
      <alignment horizontal="center" vertical="center"/>
    </xf>
    <xf numFmtId="0" fontId="64" fillId="0" borderId="0" xfId="0" applyFont="1" applyAlignment="1">
      <alignment horizontal="center" vertical="center"/>
    </xf>
    <xf numFmtId="0" fontId="74" fillId="0" borderId="33" xfId="0" applyFont="1" applyBorder="1" applyAlignment="1">
      <alignment horizontal="center" vertical="center"/>
    </xf>
    <xf numFmtId="0" fontId="27" fillId="10" borderId="33" xfId="0" applyFont="1" applyFill="1" applyBorder="1" applyAlignment="1">
      <alignment horizontal="center" vertical="center"/>
    </xf>
    <xf numFmtId="169" fontId="23" fillId="9" borderId="0" xfId="0" applyNumberFormat="1" applyFont="1" applyFill="1" applyAlignment="1">
      <alignment horizontal="right" vertical="center"/>
    </xf>
    <xf numFmtId="3" fontId="23" fillId="9" borderId="0" xfId="0" applyNumberFormat="1" applyFont="1" applyFill="1" applyAlignment="1">
      <alignment horizontal="right" vertical="center"/>
    </xf>
    <xf numFmtId="169" fontId="23" fillId="9" borderId="7" xfId="0" applyNumberFormat="1" applyFont="1" applyFill="1" applyBorder="1" applyAlignment="1">
      <alignment horizontal="right" vertical="center"/>
    </xf>
    <xf numFmtId="169" fontId="29" fillId="0" borderId="7" xfId="0" applyNumberFormat="1" applyFont="1" applyBorder="1" applyAlignment="1">
      <alignment horizontal="right" vertical="center"/>
    </xf>
    <xf numFmtId="169" fontId="75" fillId="0" borderId="7" xfId="0" applyNumberFormat="1" applyFont="1" applyBorder="1" applyAlignment="1">
      <alignment horizontal="right" vertical="center"/>
    </xf>
    <xf numFmtId="167" fontId="23" fillId="0" borderId="0" xfId="0" applyNumberFormat="1" applyFont="1" applyAlignment="1">
      <alignment horizontal="right" vertical="center"/>
    </xf>
    <xf numFmtId="0" fontId="21" fillId="0" borderId="9" xfId="0" applyFont="1" applyBorder="1" applyAlignment="1">
      <alignment horizontal="left" vertical="center"/>
    </xf>
    <xf numFmtId="169" fontId="21" fillId="0" borderId="9" xfId="0" applyNumberFormat="1" applyFont="1" applyBorder="1" applyAlignment="1">
      <alignment horizontal="right" vertical="center"/>
    </xf>
    <xf numFmtId="180" fontId="23" fillId="0" borderId="0" xfId="0" applyNumberFormat="1" applyFont="1" applyAlignment="1">
      <alignment horizontal="right" vertical="center"/>
    </xf>
    <xf numFmtId="169" fontId="29" fillId="0" borderId="0" xfId="0" applyNumberFormat="1" applyFont="1" applyAlignment="1">
      <alignment horizontal="right" vertical="center"/>
    </xf>
    <xf numFmtId="175" fontId="29" fillId="0" borderId="0" xfId="0" applyNumberFormat="1" applyFont="1" applyAlignment="1">
      <alignment horizontal="right" vertical="center"/>
    </xf>
    <xf numFmtId="173" fontId="23" fillId="0" borderId="0" xfId="0" applyNumberFormat="1" applyFont="1" applyAlignment="1">
      <alignment horizontal="right" vertical="center"/>
    </xf>
    <xf numFmtId="170" fontId="29" fillId="0" borderId="0" xfId="0" applyNumberFormat="1" applyFont="1" applyAlignment="1">
      <alignment horizontal="right" vertical="center"/>
    </xf>
    <xf numFmtId="170" fontId="75" fillId="0" borderId="0" xfId="0" applyNumberFormat="1" applyFont="1" applyAlignment="1">
      <alignment horizontal="right" vertical="center"/>
    </xf>
    <xf numFmtId="0" fontId="17" fillId="0" borderId="0" xfId="0" applyFont="1" applyAlignment="1">
      <alignment horizontal="left" vertical="center"/>
    </xf>
    <xf numFmtId="170" fontId="32" fillId="8" borderId="0" xfId="0" applyNumberFormat="1" applyFont="1" applyFill="1" applyAlignment="1">
      <alignment horizontal="center" vertical="center"/>
    </xf>
    <xf numFmtId="172" fontId="38" fillId="0" borderId="35" xfId="0" applyNumberFormat="1" applyFont="1" applyBorder="1" applyAlignment="1">
      <alignment horizontal="right" vertical="center"/>
    </xf>
    <xf numFmtId="170" fontId="38" fillId="0" borderId="35" xfId="0" applyNumberFormat="1" applyFont="1" applyBorder="1" applyAlignment="1">
      <alignment horizontal="right" vertical="center"/>
    </xf>
    <xf numFmtId="170" fontId="38" fillId="0" borderId="23" xfId="0" applyNumberFormat="1" applyFont="1" applyBorder="1" applyAlignment="1">
      <alignment horizontal="right" vertical="center"/>
    </xf>
    <xf numFmtId="172" fontId="29" fillId="0" borderId="23" xfId="0" applyNumberFormat="1" applyFont="1" applyBorder="1" applyAlignment="1">
      <alignment horizontal="right" vertical="center"/>
    </xf>
    <xf numFmtId="0" fontId="78" fillId="0" borderId="14" xfId="0" applyFont="1" applyBorder="1" applyAlignment="1">
      <alignment horizontal="center" vertical="center"/>
    </xf>
    <xf numFmtId="0" fontId="22" fillId="0" borderId="14" xfId="0" applyFont="1" applyBorder="1" applyAlignment="1">
      <alignment horizontal="left" vertical="center"/>
    </xf>
    <xf numFmtId="0" fontId="79" fillId="0" borderId="0" xfId="0" applyFont="1" applyAlignment="1">
      <alignment horizontal="left" vertical="center"/>
    </xf>
    <xf numFmtId="0" fontId="80" fillId="15" borderId="0" xfId="0" applyFont="1" applyFill="1" applyAlignment="1">
      <alignment horizontal="center" vertical="center"/>
    </xf>
    <xf numFmtId="0" fontId="22" fillId="0" borderId="0" xfId="0" applyFont="1" applyAlignment="1">
      <alignment horizontal="left" vertical="center"/>
    </xf>
    <xf numFmtId="0" fontId="81" fillId="12" borderId="14" xfId="0" applyFont="1" applyFill="1" applyBorder="1" applyAlignment="1">
      <alignment horizontal="left" vertical="top" wrapText="1"/>
    </xf>
    <xf numFmtId="0" fontId="68" fillId="12" borderId="14" xfId="0" applyFont="1" applyFill="1" applyBorder="1" applyAlignment="1">
      <alignment horizontal="left" vertical="top" wrapText="1"/>
    </xf>
    <xf numFmtId="0" fontId="81" fillId="0" borderId="14" xfId="0" applyFont="1" applyBorder="1" applyAlignment="1">
      <alignment horizontal="left" vertical="top" wrapText="1"/>
    </xf>
    <xf numFmtId="0" fontId="68" fillId="0" borderId="14" xfId="0" applyFont="1" applyBorder="1" applyAlignment="1">
      <alignment horizontal="left" vertical="top" wrapText="1"/>
    </xf>
    <xf numFmtId="4" fontId="50" fillId="12" borderId="14" xfId="0" applyNumberFormat="1" applyFont="1" applyFill="1" applyBorder="1" applyAlignment="1">
      <alignment horizontal="right" vertical="top" wrapText="1"/>
    </xf>
    <xf numFmtId="4" fontId="50" fillId="0" borderId="14" xfId="0" applyNumberFormat="1" applyFont="1" applyBorder="1" applyAlignment="1">
      <alignment horizontal="right" vertical="top" wrapText="1"/>
    </xf>
    <xf numFmtId="169" fontId="50" fillId="0" borderId="14" xfId="0" applyNumberFormat="1" applyFont="1" applyBorder="1" applyAlignment="1">
      <alignment horizontal="right" vertical="top" wrapText="1"/>
    </xf>
    <xf numFmtId="169" fontId="50" fillId="12" borderId="14" xfId="0" applyNumberFormat="1" applyFont="1" applyFill="1" applyBorder="1" applyAlignment="1">
      <alignment horizontal="right" vertical="top" wrapText="1"/>
    </xf>
    <xf numFmtId="0" fontId="50" fillId="12" borderId="14" xfId="1" applyNumberFormat="1" applyFont="1" applyFill="1" applyBorder="1" applyAlignment="1">
      <alignment horizontal="right" vertical="top" wrapText="1"/>
    </xf>
    <xf numFmtId="0" fontId="43" fillId="12" borderId="14" xfId="1" applyNumberFormat="1" applyFont="1" applyFill="1" applyBorder="1" applyAlignment="1">
      <alignment horizontal="right" vertical="top" wrapText="1"/>
    </xf>
    <xf numFmtId="0" fontId="50" fillId="0" borderId="14" xfId="1" applyNumberFormat="1" applyFont="1" applyBorder="1" applyAlignment="1">
      <alignment horizontal="right" vertical="top" wrapText="1"/>
    </xf>
    <xf numFmtId="0" fontId="16" fillId="0" borderId="0" xfId="0" applyFont="1" applyAlignment="1">
      <alignment horizontal="left" vertical="top" wrapText="1"/>
    </xf>
    <xf numFmtId="0" fontId="0" fillId="0" borderId="0" xfId="0"/>
    <xf numFmtId="0" fontId="14" fillId="8" borderId="2" xfId="0" applyFont="1" applyFill="1" applyBorder="1" applyAlignment="1">
      <alignment horizontal="left" vertical="center"/>
    </xf>
    <xf numFmtId="0" fontId="0" fillId="8" borderId="2" xfId="0" applyFill="1" applyBorder="1"/>
    <xf numFmtId="0" fontId="26" fillId="0" borderId="6" xfId="0" applyFont="1" applyBorder="1"/>
    <xf numFmtId="0" fontId="13" fillId="8" borderId="2" xfId="0" applyFont="1" applyFill="1" applyBorder="1" applyAlignment="1">
      <alignment horizontal="left" vertical="center"/>
    </xf>
    <xf numFmtId="0" fontId="27" fillId="9" borderId="6" xfId="0" applyFont="1" applyFill="1" applyBorder="1" applyAlignment="1">
      <alignment horizontal="left" vertical="center"/>
    </xf>
    <xf numFmtId="0" fontId="16" fillId="0" borderId="0" xfId="0" applyFont="1" applyAlignment="1">
      <alignment horizontal="left" vertical="center"/>
    </xf>
    <xf numFmtId="0" fontId="15" fillId="8" borderId="2" xfId="0" applyFont="1" applyFill="1" applyBorder="1" applyAlignment="1">
      <alignment horizontal="right" vertical="center"/>
    </xf>
    <xf numFmtId="0" fontId="16" fillId="2" borderId="0" xfId="0" applyFont="1" applyFill="1" applyAlignment="1">
      <alignment horizontal="left" vertical="center"/>
    </xf>
    <xf numFmtId="0" fontId="28" fillId="10" borderId="27" xfId="0" applyFont="1" applyFill="1" applyBorder="1" applyAlignment="1">
      <alignment horizontal="left" vertical="center"/>
    </xf>
    <xf numFmtId="0" fontId="0" fillId="10" borderId="28" xfId="0" applyFill="1" applyBorder="1"/>
    <xf numFmtId="0" fontId="46" fillId="0" borderId="0" xfId="0" applyFont="1" applyAlignment="1">
      <alignment horizontal="left" vertical="center"/>
    </xf>
    <xf numFmtId="0" fontId="51" fillId="8" borderId="0" xfId="0" applyFont="1" applyFill="1" applyAlignment="1">
      <alignment horizontal="left" vertical="center"/>
    </xf>
    <xf numFmtId="0" fontId="55" fillId="0" borderId="0" xfId="0" applyFont="1" applyAlignment="1">
      <alignment horizontal="left" vertical="center"/>
    </xf>
    <xf numFmtId="177" fontId="24" fillId="0" borderId="0" xfId="0" applyNumberFormat="1" applyFont="1" applyAlignment="1">
      <alignment horizontal="left" vertical="center"/>
    </xf>
    <xf numFmtId="0" fontId="21" fillId="0" borderId="0" xfId="0" applyFont="1" applyAlignment="1">
      <alignment horizontal="left" vertical="center"/>
    </xf>
    <xf numFmtId="0" fontId="17" fillId="0" borderId="14" xfId="0" applyFont="1" applyBorder="1" applyAlignment="1">
      <alignment horizontal="left" vertical="center"/>
    </xf>
    <xf numFmtId="0" fontId="0" fillId="0" borderId="14" xfId="0" applyBorder="1"/>
    <xf numFmtId="0" fontId="44" fillId="0" borderId="0" xfId="0" applyFont="1" applyAlignment="1">
      <alignment horizontal="left" vertical="top" wrapText="1"/>
    </xf>
    <xf numFmtId="0" fontId="52" fillId="8" borderId="0" xfId="0" applyFont="1" applyFill="1" applyAlignment="1">
      <alignment horizontal="left" vertical="center"/>
    </xf>
    <xf numFmtId="0" fontId="53" fillId="8" borderId="0" xfId="0" applyFont="1" applyFill="1" applyAlignment="1">
      <alignment horizontal="left" vertical="center"/>
    </xf>
    <xf numFmtId="0" fontId="54" fillId="8" borderId="0" xfId="0" applyFont="1" applyFill="1" applyAlignment="1">
      <alignment horizontal="left" vertical="center"/>
    </xf>
    <xf numFmtId="168" fontId="59" fillId="8" borderId="0" xfId="0" applyNumberFormat="1" applyFont="1" applyFill="1" applyAlignment="1">
      <alignment horizontal="left" vertical="center"/>
    </xf>
    <xf numFmtId="0" fontId="55" fillId="10" borderId="29" xfId="0" applyFont="1" applyFill="1" applyBorder="1" applyAlignment="1">
      <alignment horizontal="left" vertical="center"/>
    </xf>
    <xf numFmtId="0" fontId="0" fillId="0" borderId="30" xfId="0" applyBorder="1"/>
    <xf numFmtId="0" fontId="62" fillId="10" borderId="14" xfId="0" applyFont="1" applyFill="1" applyBorder="1" applyAlignment="1">
      <alignment horizontal="left" vertical="center"/>
    </xf>
    <xf numFmtId="0" fontId="0" fillId="0" borderId="31" xfId="0" applyBorder="1"/>
    <xf numFmtId="0" fontId="60" fillId="8" borderId="0" xfId="0" applyFont="1" applyFill="1" applyAlignment="1">
      <alignment horizontal="left" vertical="center"/>
    </xf>
    <xf numFmtId="0" fontId="65" fillId="0" borderId="14" xfId="0" applyFont="1" applyBorder="1" applyAlignment="1">
      <alignment horizontal="left" vertical="center"/>
    </xf>
    <xf numFmtId="0" fontId="38" fillId="0" borderId="14" xfId="0" applyFont="1" applyBorder="1" applyAlignment="1">
      <alignment horizontal="left" vertical="center"/>
    </xf>
    <xf numFmtId="10" fontId="59" fillId="8" borderId="0" xfId="0" applyNumberFormat="1" applyFont="1" applyFill="1" applyAlignment="1">
      <alignment horizontal="left" vertical="center"/>
    </xf>
    <xf numFmtId="0" fontId="83" fillId="0" borderId="14" xfId="0" applyFont="1" applyBorder="1" applyAlignment="1">
      <alignment horizontal="left" vertical="center"/>
    </xf>
    <xf numFmtId="0" fontId="82" fillId="8" borderId="0" xfId="0" applyFont="1" applyFill="1" applyAlignment="1">
      <alignment horizontal="left" vertical="center"/>
    </xf>
    <xf numFmtId="0" fontId="0" fillId="8" borderId="0" xfId="0" applyFill="1"/>
    <xf numFmtId="168" fontId="61" fillId="10" borderId="0" xfId="0" applyNumberFormat="1" applyFont="1" applyFill="1" applyAlignment="1">
      <alignment horizontal="left" vertical="center"/>
    </xf>
    <xf numFmtId="0" fontId="64" fillId="0" borderId="14" xfId="0" applyFont="1" applyBorder="1" applyAlignment="1">
      <alignment horizontal="right" vertical="center"/>
    </xf>
    <xf numFmtId="0" fontId="82" fillId="8" borderId="0" xfId="0" applyFont="1" applyFill="1" applyAlignment="1">
      <alignment horizontal="left" vertical="center" wrapText="1"/>
    </xf>
    <xf numFmtId="179" fontId="61" fillId="10" borderId="0" xfId="0" applyNumberFormat="1" applyFont="1" applyFill="1" applyAlignment="1">
      <alignment horizontal="left" vertical="center"/>
    </xf>
    <xf numFmtId="0" fontId="32" fillId="8" borderId="0" xfId="0" applyFont="1" applyFill="1" applyAlignment="1">
      <alignment horizontal="right" vertical="center"/>
    </xf>
    <xf numFmtId="0" fontId="63" fillId="8" borderId="0" xfId="0" applyFont="1" applyFill="1" applyAlignment="1">
      <alignment horizontal="left" vertical="center"/>
    </xf>
    <xf numFmtId="0" fontId="56" fillId="8" borderId="0" xfId="0" applyFont="1" applyFill="1" applyAlignment="1">
      <alignment horizontal="left" vertical="center"/>
    </xf>
    <xf numFmtId="0" fontId="57" fillId="0" borderId="0" xfId="0" applyFont="1" applyAlignment="1">
      <alignment horizontal="left" vertical="center"/>
    </xf>
    <xf numFmtId="0" fontId="58" fillId="8" borderId="0" xfId="0" applyFont="1" applyFill="1" applyAlignment="1">
      <alignment horizontal="left" vertical="center"/>
    </xf>
    <xf numFmtId="178" fontId="59" fillId="8" borderId="0" xfId="0" applyNumberFormat="1" applyFont="1" applyFill="1" applyAlignment="1">
      <alignment horizontal="left" vertical="center"/>
    </xf>
    <xf numFmtId="179" fontId="59" fillId="8" borderId="0" xfId="0" applyNumberFormat="1" applyFont="1" applyFill="1" applyAlignment="1">
      <alignment horizontal="left" vertical="center"/>
    </xf>
    <xf numFmtId="0" fontId="44" fillId="0" borderId="0" xfId="0" applyFont="1"/>
    <xf numFmtId="0" fontId="41" fillId="0" borderId="14" xfId="0" applyFont="1" applyBorder="1" applyAlignment="1">
      <alignment horizontal="left" vertical="center"/>
    </xf>
    <xf numFmtId="0" fontId="31" fillId="0" borderId="14" xfId="0" applyFont="1" applyBorder="1" applyAlignment="1">
      <alignment horizontal="left" vertical="center"/>
    </xf>
    <xf numFmtId="0" fontId="66" fillId="0" borderId="0" xfId="0" applyFont="1" applyAlignment="1">
      <alignment horizontal="left" vertical="top" wrapText="1"/>
    </xf>
    <xf numFmtId="0" fontId="65" fillId="0" borderId="0" xfId="0" applyFont="1" applyAlignment="1">
      <alignment horizontal="left" vertical="center"/>
    </xf>
    <xf numFmtId="0" fontId="84" fillId="0" borderId="14" xfId="0" applyFont="1" applyBorder="1" applyAlignment="1">
      <alignment horizontal="left" vertical="center"/>
    </xf>
    <xf numFmtId="0" fontId="8" fillId="0" borderId="0" xfId="0" applyFont="1" applyAlignment="1">
      <alignment horizontal="left" vertical="top" wrapText="1"/>
    </xf>
    <xf numFmtId="0" fontId="44" fillId="0" borderId="6" xfId="0" applyFont="1" applyBorder="1" applyAlignment="1">
      <alignment horizontal="left" vertical="center"/>
    </xf>
    <xf numFmtId="0" fontId="20" fillId="10" borderId="5" xfId="0" applyFont="1" applyFill="1" applyBorder="1" applyAlignment="1">
      <alignment horizontal="left" vertical="center"/>
    </xf>
    <xf numFmtId="0" fontId="0" fillId="10" borderId="4" xfId="0" applyFill="1" applyBorder="1"/>
    <xf numFmtId="0" fontId="22" fillId="0" borderId="6" xfId="0" applyFont="1" applyBorder="1" applyAlignment="1">
      <alignment horizontal="left" vertical="top" wrapText="1"/>
    </xf>
    <xf numFmtId="0" fontId="0" fillId="0" borderId="0" xfId="0" applyAlignment="1">
      <alignment wrapText="1"/>
    </xf>
    <xf numFmtId="0" fontId="16" fillId="0" borderId="6" xfId="0" applyFont="1" applyBorder="1" applyAlignment="1">
      <alignment horizontal="left" vertical="center"/>
    </xf>
    <xf numFmtId="0" fontId="16" fillId="0" borderId="6" xfId="0" applyFont="1" applyBorder="1" applyAlignment="1">
      <alignment horizontal="left" vertical="top" wrapText="1"/>
    </xf>
    <xf numFmtId="0" fontId="16" fillId="7" borderId="0" xfId="0" applyFont="1" applyFill="1" applyAlignment="1">
      <alignment horizontal="left" vertical="top" wrapText="1"/>
    </xf>
    <xf numFmtId="0" fontId="0" fillId="0" borderId="15" xfId="0" applyBorder="1"/>
    <xf numFmtId="0" fontId="44" fillId="0" borderId="0" xfId="0" applyFont="1" applyAlignment="1">
      <alignment horizontal="left" vertical="center"/>
    </xf>
    <xf numFmtId="0" fontId="17" fillId="2" borderId="0" xfId="0" applyFont="1" applyFill="1" applyAlignment="1">
      <alignment horizontal="left" vertical="center"/>
    </xf>
    <xf numFmtId="0" fontId="17" fillId="10" borderId="4" xfId="0" applyFont="1" applyFill="1" applyBorder="1" applyAlignment="1">
      <alignment horizontal="left" vertical="center"/>
    </xf>
    <xf numFmtId="0" fontId="0" fillId="0" borderId="37" xfId="0" applyBorder="1"/>
    <xf numFmtId="0" fontId="37" fillId="8" borderId="11" xfId="0" applyFont="1" applyFill="1" applyBorder="1" applyAlignment="1">
      <alignment horizontal="left" vertical="center"/>
    </xf>
    <xf numFmtId="0" fontId="0" fillId="0" borderId="25" xfId="0" applyBorder="1"/>
    <xf numFmtId="0" fontId="37" fillId="8" borderId="11" xfId="0" applyFont="1" applyFill="1" applyBorder="1" applyAlignment="1">
      <alignment horizontal="center" vertical="center"/>
    </xf>
    <xf numFmtId="165" fontId="17" fillId="6" borderId="0" xfId="0" applyNumberFormat="1" applyFont="1" applyFill="1" applyAlignment="1">
      <alignment horizontal="left" vertical="center"/>
    </xf>
    <xf numFmtId="0" fontId="16" fillId="2" borderId="0" xfId="0" applyFont="1" applyFill="1" applyAlignment="1">
      <alignment horizontal="left" vertical="top" wrapText="1"/>
    </xf>
    <xf numFmtId="0" fontId="44" fillId="0" borderId="9" xfId="0" applyFont="1" applyBorder="1" applyAlignment="1">
      <alignment horizontal="left" vertical="center"/>
    </xf>
    <xf numFmtId="0" fontId="0" fillId="0" borderId="36" xfId="0" applyBorder="1"/>
    <xf numFmtId="0" fontId="0" fillId="0" borderId="1" xfId="0" applyBorder="1"/>
    <xf numFmtId="0" fontId="39" fillId="0" borderId="14" xfId="0" applyFont="1" applyBorder="1" applyAlignment="1">
      <alignment horizontal="left" vertical="center"/>
    </xf>
    <xf numFmtId="0" fontId="38" fillId="0" borderId="0" xfId="0" applyFont="1" applyAlignment="1">
      <alignment horizontal="left" vertical="top" wrapText="1"/>
    </xf>
  </cellXfs>
  <cellStyles count="2">
    <cellStyle name="Normal" xfId="0" builtinId="0"/>
    <cellStyle name="Percent" xfId="1" builtinId="5"/>
  </cellStyles>
  <dxfs count="5">
    <dxf>
      <font>
        <b/>
        <color rgb="FFFFFFFF"/>
      </font>
      <fill>
        <patternFill>
          <bgColor rgb="FFE31937"/>
        </patternFill>
      </fill>
    </dxf>
    <dxf>
      <fill>
        <patternFill>
          <bgColor rgb="FFD6F0DD"/>
        </patternFill>
      </fill>
    </dxf>
    <dxf>
      <fill>
        <patternFill>
          <bgColor rgb="FFFDECEE"/>
        </patternFill>
      </fill>
    </dxf>
    <dxf>
      <font>
        <b/>
        <color rgb="FFE31937"/>
      </font>
    </dxf>
    <dxf>
      <fill>
        <patternFill>
          <bgColor rgb="FFFDECE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F1F7"/>
      <rgbColor rgb="FFF2F2F2"/>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150" b="0">
                <a:solidFill>
                  <a:srgbClr val="FFFFFF"/>
                </a:solidFill>
                <a:latin typeface="Calibri"/>
                <a:ea typeface="Calibri"/>
                <a:cs typeface="Calibri"/>
              </a:rPr>
              <a:t>Revenue Mix — Historical (A) and Forecast (E)</a:t>
            </a:r>
          </a:p>
        </c:rich>
      </c:tx>
      <c:overlay val="1"/>
    </c:title>
    <c:autoTitleDeleted val="0"/>
    <c:plotArea>
      <c:layout>
        <c:manualLayout>
          <c:layoutTarget val="inner"/>
          <c:xMode val="edge"/>
          <c:yMode val="edge"/>
          <c:x val="0.10774217527386541"/>
          <c:y val="0.11838637357830271"/>
          <c:w val="0.86741431924882628"/>
          <c:h val="0.75888458278652671"/>
        </c:manualLayout>
      </c:layout>
      <c:barChart>
        <c:barDir val="col"/>
        <c:grouping val="stacked"/>
        <c:varyColors val="0"/>
        <c:ser>
          <c:idx val="0"/>
          <c:order val="0"/>
          <c:tx>
            <c:v>Automotive</c:v>
          </c:tx>
          <c:spPr>
            <a:solidFill>
              <a:srgbClr val="F2F2F4"/>
            </a:solidFill>
            <a:ln>
              <a:noFill/>
              <a:prstDash val="solid"/>
            </a:ln>
          </c:spPr>
          <c:invertIfNegative val="1"/>
          <c:dPt>
            <c:idx val="0"/>
            <c:invertIfNegative val="1"/>
            <c:bubble3D val="0"/>
            <c:extLst>
              <c:ext xmlns:c16="http://schemas.microsoft.com/office/drawing/2014/chart" uri="{C3380CC4-5D6E-409C-BE32-E72D297353CC}">
                <c16:uniqueId val="{00000001-0778-40B7-AABC-49CA6B22BBA6}"/>
              </c:ext>
            </c:extLst>
          </c:dPt>
          <c:dPt>
            <c:idx val="1"/>
            <c:invertIfNegative val="1"/>
            <c:bubble3D val="0"/>
            <c:extLst>
              <c:ext xmlns:c16="http://schemas.microsoft.com/office/drawing/2014/chart" uri="{C3380CC4-5D6E-409C-BE32-E72D297353CC}">
                <c16:uniqueId val="{00000003-0778-40B7-AABC-49CA6B22BBA6}"/>
              </c:ext>
            </c:extLst>
          </c:dPt>
          <c:dPt>
            <c:idx val="2"/>
            <c:invertIfNegative val="1"/>
            <c:bubble3D val="0"/>
            <c:extLst>
              <c:ext xmlns:c16="http://schemas.microsoft.com/office/drawing/2014/chart" uri="{C3380CC4-5D6E-409C-BE32-E72D297353CC}">
                <c16:uniqueId val="{00000005-0778-40B7-AABC-49CA6B22BBA6}"/>
              </c:ext>
            </c:extLst>
          </c:dPt>
          <c:dPt>
            <c:idx val="3"/>
            <c:invertIfNegative val="1"/>
            <c:bubble3D val="0"/>
            <c:extLst>
              <c:ext xmlns:c16="http://schemas.microsoft.com/office/drawing/2014/chart" uri="{C3380CC4-5D6E-409C-BE32-E72D297353CC}">
                <c16:uniqueId val="{00000007-0778-40B7-AABC-49CA6B22BBA6}"/>
              </c:ext>
            </c:extLst>
          </c:dPt>
          <c:dPt>
            <c:idx val="4"/>
            <c:invertIfNegative val="1"/>
            <c:bubble3D val="0"/>
            <c:extLst>
              <c:ext xmlns:c16="http://schemas.microsoft.com/office/drawing/2014/chart" uri="{C3380CC4-5D6E-409C-BE32-E72D297353CC}">
                <c16:uniqueId val="{00000009-0778-40B7-AABC-49CA6B22BBA6}"/>
              </c:ext>
            </c:extLst>
          </c:dPt>
          <c:dPt>
            <c:idx val="5"/>
            <c:invertIfNegative val="1"/>
            <c:bubble3D val="0"/>
            <c:spPr>
              <a:solidFill>
                <a:srgbClr val="B7BAC1"/>
              </a:solidFill>
              <a:ln>
                <a:noFill/>
                <a:prstDash val="solid"/>
              </a:ln>
            </c:spPr>
            <c:extLst>
              <c:ext xmlns:c16="http://schemas.microsoft.com/office/drawing/2014/chart" uri="{C3380CC4-5D6E-409C-BE32-E72D297353CC}">
                <c16:uniqueId val="{0000000B-0778-40B7-AABC-49CA6B22BBA6}"/>
              </c:ext>
            </c:extLst>
          </c:dPt>
          <c:dPt>
            <c:idx val="6"/>
            <c:invertIfNegative val="1"/>
            <c:bubble3D val="0"/>
            <c:spPr>
              <a:solidFill>
                <a:srgbClr val="B7BAC1"/>
              </a:solidFill>
              <a:ln>
                <a:noFill/>
                <a:prstDash val="solid"/>
              </a:ln>
            </c:spPr>
            <c:extLst>
              <c:ext xmlns:c16="http://schemas.microsoft.com/office/drawing/2014/chart" uri="{C3380CC4-5D6E-409C-BE32-E72D297353CC}">
                <c16:uniqueId val="{0000000D-0778-40B7-AABC-49CA6B22BBA6}"/>
              </c:ext>
            </c:extLst>
          </c:dPt>
          <c:dPt>
            <c:idx val="7"/>
            <c:invertIfNegative val="1"/>
            <c:bubble3D val="0"/>
            <c:spPr>
              <a:solidFill>
                <a:srgbClr val="B7BAC1"/>
              </a:solidFill>
              <a:ln>
                <a:noFill/>
                <a:prstDash val="solid"/>
              </a:ln>
            </c:spPr>
            <c:extLst>
              <c:ext xmlns:c16="http://schemas.microsoft.com/office/drawing/2014/chart" uri="{C3380CC4-5D6E-409C-BE32-E72D297353CC}">
                <c16:uniqueId val="{0000000F-0778-40B7-AABC-49CA6B22BBA6}"/>
              </c:ext>
            </c:extLst>
          </c:dPt>
          <c:dPt>
            <c:idx val="8"/>
            <c:invertIfNegative val="1"/>
            <c:bubble3D val="0"/>
            <c:spPr>
              <a:solidFill>
                <a:srgbClr val="B7BAC1"/>
              </a:solidFill>
              <a:ln>
                <a:noFill/>
                <a:prstDash val="solid"/>
              </a:ln>
            </c:spPr>
            <c:extLst>
              <c:ext xmlns:c16="http://schemas.microsoft.com/office/drawing/2014/chart" uri="{C3380CC4-5D6E-409C-BE32-E72D297353CC}">
                <c16:uniqueId val="{00000011-0778-40B7-AABC-49CA6B22BBA6}"/>
              </c:ext>
            </c:extLst>
          </c:dPt>
          <c:dPt>
            <c:idx val="9"/>
            <c:invertIfNegative val="1"/>
            <c:bubble3D val="0"/>
            <c:spPr>
              <a:solidFill>
                <a:srgbClr val="B7BAC1"/>
              </a:solidFill>
              <a:ln>
                <a:noFill/>
                <a:prstDash val="solid"/>
              </a:ln>
            </c:spPr>
            <c:extLst>
              <c:ext xmlns:c16="http://schemas.microsoft.com/office/drawing/2014/chart" uri="{C3380CC4-5D6E-409C-BE32-E72D297353CC}">
                <c16:uniqueId val="{00000013-0778-40B7-AABC-49CA6B22BBA6}"/>
              </c:ext>
            </c:extLst>
          </c:dPt>
          <c:cat>
            <c:strRef>
              <c:f>IS!$G$3:$P$3</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IS!$G$5:$P$5</c:f>
              <c:numCache>
                <c:formatCode>#,##0;\(#,##0\);"–"</c:formatCode>
                <c:ptCount val="10"/>
                <c:pt idx="0">
                  <c:v>47231.999999999978</c:v>
                </c:pt>
                <c:pt idx="1">
                  <c:v>71461.999999999985</c:v>
                </c:pt>
                <c:pt idx="2">
                  <c:v>82419.000000000087</c:v>
                </c:pt>
                <c:pt idx="3">
                  <c:v>77069.999999999985</c:v>
                </c:pt>
                <c:pt idx="4">
                  <c:v>69526.000000000029</c:v>
                </c:pt>
                <c:pt idx="5">
                  <c:v>70832.530600000042</c:v>
                </c:pt>
                <c:pt idx="6">
                  <c:v>75969.63018680003</c:v>
                </c:pt>
                <c:pt idx="7">
                  <c:v>85678.807971308197</c:v>
                </c:pt>
                <c:pt idx="8">
                  <c:v>95027.43566412339</c:v>
                </c:pt>
                <c:pt idx="9">
                  <c:v>104537.55907015836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14-0778-40B7-AABC-49CA6B22BBA6}"/>
            </c:ext>
          </c:extLst>
        </c:ser>
        <c:ser>
          <c:idx val="1"/>
          <c:order val="1"/>
          <c:tx>
            <c:v>Energy</c:v>
          </c:tx>
          <c:spPr>
            <a:solidFill>
              <a:srgbClr val="9A9CA2"/>
            </a:solidFill>
            <a:ln>
              <a:noFill/>
              <a:prstDash val="solid"/>
            </a:ln>
          </c:spPr>
          <c:invertIfNegative val="1"/>
          <c:dPt>
            <c:idx val="0"/>
            <c:invertIfNegative val="1"/>
            <c:bubble3D val="0"/>
            <c:extLst>
              <c:ext xmlns:c16="http://schemas.microsoft.com/office/drawing/2014/chart" uri="{C3380CC4-5D6E-409C-BE32-E72D297353CC}">
                <c16:uniqueId val="{00000016-0778-40B7-AABC-49CA6B22BBA6}"/>
              </c:ext>
            </c:extLst>
          </c:dPt>
          <c:dPt>
            <c:idx val="1"/>
            <c:invertIfNegative val="1"/>
            <c:bubble3D val="0"/>
            <c:extLst>
              <c:ext xmlns:c16="http://schemas.microsoft.com/office/drawing/2014/chart" uri="{C3380CC4-5D6E-409C-BE32-E72D297353CC}">
                <c16:uniqueId val="{00000018-0778-40B7-AABC-49CA6B22BBA6}"/>
              </c:ext>
            </c:extLst>
          </c:dPt>
          <c:dPt>
            <c:idx val="2"/>
            <c:invertIfNegative val="1"/>
            <c:bubble3D val="0"/>
            <c:extLst>
              <c:ext xmlns:c16="http://schemas.microsoft.com/office/drawing/2014/chart" uri="{C3380CC4-5D6E-409C-BE32-E72D297353CC}">
                <c16:uniqueId val="{0000001A-0778-40B7-AABC-49CA6B22BBA6}"/>
              </c:ext>
            </c:extLst>
          </c:dPt>
          <c:dPt>
            <c:idx val="3"/>
            <c:invertIfNegative val="1"/>
            <c:bubble3D val="0"/>
            <c:extLst>
              <c:ext xmlns:c16="http://schemas.microsoft.com/office/drawing/2014/chart" uri="{C3380CC4-5D6E-409C-BE32-E72D297353CC}">
                <c16:uniqueId val="{0000001C-0778-40B7-AABC-49CA6B22BBA6}"/>
              </c:ext>
            </c:extLst>
          </c:dPt>
          <c:dPt>
            <c:idx val="4"/>
            <c:invertIfNegative val="1"/>
            <c:bubble3D val="0"/>
            <c:extLst>
              <c:ext xmlns:c16="http://schemas.microsoft.com/office/drawing/2014/chart" uri="{C3380CC4-5D6E-409C-BE32-E72D297353CC}">
                <c16:uniqueId val="{0000001E-0778-40B7-AABC-49CA6B22BBA6}"/>
              </c:ext>
            </c:extLst>
          </c:dPt>
          <c:dPt>
            <c:idx val="5"/>
            <c:invertIfNegative val="1"/>
            <c:bubble3D val="0"/>
            <c:spPr>
              <a:solidFill>
                <a:srgbClr val="55575D"/>
              </a:solidFill>
              <a:ln>
                <a:noFill/>
                <a:prstDash val="solid"/>
              </a:ln>
            </c:spPr>
            <c:extLst>
              <c:ext xmlns:c16="http://schemas.microsoft.com/office/drawing/2014/chart" uri="{C3380CC4-5D6E-409C-BE32-E72D297353CC}">
                <c16:uniqueId val="{00000020-0778-40B7-AABC-49CA6B22BBA6}"/>
              </c:ext>
            </c:extLst>
          </c:dPt>
          <c:dPt>
            <c:idx val="6"/>
            <c:invertIfNegative val="1"/>
            <c:bubble3D val="0"/>
            <c:spPr>
              <a:solidFill>
                <a:srgbClr val="55575D"/>
              </a:solidFill>
              <a:ln>
                <a:noFill/>
                <a:prstDash val="solid"/>
              </a:ln>
            </c:spPr>
            <c:extLst>
              <c:ext xmlns:c16="http://schemas.microsoft.com/office/drawing/2014/chart" uri="{C3380CC4-5D6E-409C-BE32-E72D297353CC}">
                <c16:uniqueId val="{00000022-0778-40B7-AABC-49CA6B22BBA6}"/>
              </c:ext>
            </c:extLst>
          </c:dPt>
          <c:dPt>
            <c:idx val="7"/>
            <c:invertIfNegative val="1"/>
            <c:bubble3D val="0"/>
            <c:spPr>
              <a:solidFill>
                <a:srgbClr val="55575D"/>
              </a:solidFill>
              <a:ln>
                <a:noFill/>
                <a:prstDash val="solid"/>
              </a:ln>
            </c:spPr>
            <c:extLst>
              <c:ext xmlns:c16="http://schemas.microsoft.com/office/drawing/2014/chart" uri="{C3380CC4-5D6E-409C-BE32-E72D297353CC}">
                <c16:uniqueId val="{00000024-0778-40B7-AABC-49CA6B22BBA6}"/>
              </c:ext>
            </c:extLst>
          </c:dPt>
          <c:dPt>
            <c:idx val="8"/>
            <c:invertIfNegative val="1"/>
            <c:bubble3D val="0"/>
            <c:spPr>
              <a:solidFill>
                <a:srgbClr val="55575D"/>
              </a:solidFill>
              <a:ln>
                <a:noFill/>
                <a:prstDash val="solid"/>
              </a:ln>
            </c:spPr>
            <c:extLst>
              <c:ext xmlns:c16="http://schemas.microsoft.com/office/drawing/2014/chart" uri="{C3380CC4-5D6E-409C-BE32-E72D297353CC}">
                <c16:uniqueId val="{00000026-0778-40B7-AABC-49CA6B22BBA6}"/>
              </c:ext>
            </c:extLst>
          </c:dPt>
          <c:dPt>
            <c:idx val="9"/>
            <c:invertIfNegative val="1"/>
            <c:bubble3D val="0"/>
            <c:spPr>
              <a:solidFill>
                <a:srgbClr val="55575D"/>
              </a:solidFill>
              <a:ln>
                <a:noFill/>
                <a:prstDash val="solid"/>
              </a:ln>
            </c:spPr>
            <c:extLst>
              <c:ext xmlns:c16="http://schemas.microsoft.com/office/drawing/2014/chart" uri="{C3380CC4-5D6E-409C-BE32-E72D297353CC}">
                <c16:uniqueId val="{00000028-0778-40B7-AABC-49CA6B22BBA6}"/>
              </c:ext>
            </c:extLst>
          </c:dPt>
          <c:cat>
            <c:strRef>
              <c:f>IS!$G$3:$P$3</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IS!$G$6:$P$6</c:f>
              <c:numCache>
                <c:formatCode>#,##0;\(#,##0\);"–"</c:formatCode>
                <c:ptCount val="10"/>
                <c:pt idx="0">
                  <c:v>2789</c:v>
                </c:pt>
                <c:pt idx="1">
                  <c:v>3909</c:v>
                </c:pt>
                <c:pt idx="2">
                  <c:v>6035</c:v>
                </c:pt>
                <c:pt idx="3">
                  <c:v>10086</c:v>
                </c:pt>
                <c:pt idx="4">
                  <c:v>12771</c:v>
                </c:pt>
                <c:pt idx="5">
                  <c:v>16602.3</c:v>
                </c:pt>
                <c:pt idx="6">
                  <c:v>20752.875</c:v>
                </c:pt>
                <c:pt idx="7">
                  <c:v>24903.45</c:v>
                </c:pt>
                <c:pt idx="8">
                  <c:v>29386.071</c:v>
                </c:pt>
                <c:pt idx="9">
                  <c:v>33793.981649999994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29-0778-40B7-AABC-49CA6B22BBA6}"/>
            </c:ext>
          </c:extLst>
        </c:ser>
        <c:ser>
          <c:idx val="2"/>
          <c:order val="2"/>
          <c:tx>
            <c:v>Services &amp; Other</c:v>
          </c:tx>
          <c:spPr>
            <a:solidFill>
              <a:srgbClr val="E31937"/>
            </a:solidFill>
            <a:ln>
              <a:noFill/>
              <a:prstDash val="solid"/>
            </a:ln>
          </c:spPr>
          <c:invertIfNegative val="1"/>
          <c:dPt>
            <c:idx val="0"/>
            <c:invertIfNegative val="1"/>
            <c:bubble3D val="0"/>
            <c:extLst>
              <c:ext xmlns:c16="http://schemas.microsoft.com/office/drawing/2014/chart" uri="{C3380CC4-5D6E-409C-BE32-E72D297353CC}">
                <c16:uniqueId val="{0000002B-0778-40B7-AABC-49CA6B22BBA6}"/>
              </c:ext>
            </c:extLst>
          </c:dPt>
          <c:dPt>
            <c:idx val="1"/>
            <c:invertIfNegative val="1"/>
            <c:bubble3D val="0"/>
            <c:extLst>
              <c:ext xmlns:c16="http://schemas.microsoft.com/office/drawing/2014/chart" uri="{C3380CC4-5D6E-409C-BE32-E72D297353CC}">
                <c16:uniqueId val="{0000002D-0778-40B7-AABC-49CA6B22BBA6}"/>
              </c:ext>
            </c:extLst>
          </c:dPt>
          <c:dPt>
            <c:idx val="2"/>
            <c:invertIfNegative val="1"/>
            <c:bubble3D val="0"/>
            <c:extLst>
              <c:ext xmlns:c16="http://schemas.microsoft.com/office/drawing/2014/chart" uri="{C3380CC4-5D6E-409C-BE32-E72D297353CC}">
                <c16:uniqueId val="{0000002F-0778-40B7-AABC-49CA6B22BBA6}"/>
              </c:ext>
            </c:extLst>
          </c:dPt>
          <c:dPt>
            <c:idx val="3"/>
            <c:invertIfNegative val="1"/>
            <c:bubble3D val="0"/>
            <c:extLst>
              <c:ext xmlns:c16="http://schemas.microsoft.com/office/drawing/2014/chart" uri="{C3380CC4-5D6E-409C-BE32-E72D297353CC}">
                <c16:uniqueId val="{00000031-0778-40B7-AABC-49CA6B22BBA6}"/>
              </c:ext>
            </c:extLst>
          </c:dPt>
          <c:dPt>
            <c:idx val="4"/>
            <c:invertIfNegative val="1"/>
            <c:bubble3D val="0"/>
            <c:extLst>
              <c:ext xmlns:c16="http://schemas.microsoft.com/office/drawing/2014/chart" uri="{C3380CC4-5D6E-409C-BE32-E72D297353CC}">
                <c16:uniqueId val="{00000033-0778-40B7-AABC-49CA6B22BBA6}"/>
              </c:ext>
            </c:extLst>
          </c:dPt>
          <c:dPt>
            <c:idx val="5"/>
            <c:invertIfNegative val="1"/>
            <c:bubble3D val="0"/>
            <c:spPr>
              <a:solidFill>
                <a:srgbClr val="8E1022"/>
              </a:solidFill>
              <a:ln>
                <a:noFill/>
                <a:prstDash val="solid"/>
              </a:ln>
            </c:spPr>
            <c:extLst>
              <c:ext xmlns:c16="http://schemas.microsoft.com/office/drawing/2014/chart" uri="{C3380CC4-5D6E-409C-BE32-E72D297353CC}">
                <c16:uniqueId val="{00000035-0778-40B7-AABC-49CA6B22BBA6}"/>
              </c:ext>
            </c:extLst>
          </c:dPt>
          <c:dPt>
            <c:idx val="6"/>
            <c:invertIfNegative val="1"/>
            <c:bubble3D val="0"/>
            <c:spPr>
              <a:solidFill>
                <a:srgbClr val="8E1022"/>
              </a:solidFill>
              <a:ln>
                <a:noFill/>
                <a:prstDash val="solid"/>
              </a:ln>
            </c:spPr>
            <c:extLst>
              <c:ext xmlns:c16="http://schemas.microsoft.com/office/drawing/2014/chart" uri="{C3380CC4-5D6E-409C-BE32-E72D297353CC}">
                <c16:uniqueId val="{00000037-0778-40B7-AABC-49CA6B22BBA6}"/>
              </c:ext>
            </c:extLst>
          </c:dPt>
          <c:dPt>
            <c:idx val="7"/>
            <c:invertIfNegative val="1"/>
            <c:bubble3D val="0"/>
            <c:spPr>
              <a:solidFill>
                <a:srgbClr val="8E1022"/>
              </a:solidFill>
              <a:ln>
                <a:noFill/>
                <a:prstDash val="solid"/>
              </a:ln>
            </c:spPr>
            <c:extLst>
              <c:ext xmlns:c16="http://schemas.microsoft.com/office/drawing/2014/chart" uri="{C3380CC4-5D6E-409C-BE32-E72D297353CC}">
                <c16:uniqueId val="{00000039-0778-40B7-AABC-49CA6B22BBA6}"/>
              </c:ext>
            </c:extLst>
          </c:dPt>
          <c:dPt>
            <c:idx val="8"/>
            <c:invertIfNegative val="1"/>
            <c:bubble3D val="0"/>
            <c:spPr>
              <a:solidFill>
                <a:srgbClr val="8E1022"/>
              </a:solidFill>
              <a:ln>
                <a:noFill/>
                <a:prstDash val="solid"/>
              </a:ln>
            </c:spPr>
            <c:extLst>
              <c:ext xmlns:c16="http://schemas.microsoft.com/office/drawing/2014/chart" uri="{C3380CC4-5D6E-409C-BE32-E72D297353CC}">
                <c16:uniqueId val="{0000003B-0778-40B7-AABC-49CA6B22BBA6}"/>
              </c:ext>
            </c:extLst>
          </c:dPt>
          <c:dPt>
            <c:idx val="9"/>
            <c:invertIfNegative val="1"/>
            <c:bubble3D val="0"/>
            <c:spPr>
              <a:solidFill>
                <a:srgbClr val="8E1022"/>
              </a:solidFill>
              <a:ln>
                <a:noFill/>
                <a:prstDash val="solid"/>
              </a:ln>
            </c:spPr>
            <c:extLst>
              <c:ext xmlns:c16="http://schemas.microsoft.com/office/drawing/2014/chart" uri="{C3380CC4-5D6E-409C-BE32-E72D297353CC}">
                <c16:uniqueId val="{0000003D-0778-40B7-AABC-49CA6B22BBA6}"/>
              </c:ext>
            </c:extLst>
          </c:dPt>
          <c:cat>
            <c:strRef>
              <c:f>IS!$G$3:$P$3</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IS!$G$7:$P$7</c:f>
              <c:numCache>
                <c:formatCode>#,##0;\(#,##0\);"–"</c:formatCode>
                <c:ptCount val="10"/>
                <c:pt idx="0">
                  <c:v>3802</c:v>
                </c:pt>
                <c:pt idx="1">
                  <c:v>6091</c:v>
                </c:pt>
                <c:pt idx="2">
                  <c:v>8319</c:v>
                </c:pt>
                <c:pt idx="3">
                  <c:v>10534</c:v>
                </c:pt>
                <c:pt idx="4">
                  <c:v>12530</c:v>
                </c:pt>
                <c:pt idx="5">
                  <c:v>14409.499999999998</c:v>
                </c:pt>
                <c:pt idx="6">
                  <c:v>16426.829999999998</c:v>
                </c:pt>
                <c:pt idx="7">
                  <c:v>18562.317899999995</c:v>
                </c:pt>
                <c:pt idx="8">
                  <c:v>20789.796047999997</c:v>
                </c:pt>
                <c:pt idx="9">
                  <c:v>23076.67361328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3E-0778-40B7-AABC-49CA6B22BBA6}"/>
            </c:ext>
          </c:extLst>
        </c:ser>
        <c:dLbls>
          <c:showLegendKey val="0"/>
          <c:showVal val="0"/>
          <c:showCatName val="0"/>
          <c:showSerName val="0"/>
          <c:showPercent val="0"/>
          <c:showBubbleSize val="0"/>
        </c:dLbls>
        <c:gapWidth val="42"/>
        <c:overlap val="100"/>
        <c:axId val="10"/>
        <c:axId val="100"/>
      </c:barChart>
      <c:catAx>
        <c:axId val="10"/>
        <c:scaling>
          <c:orientation val="minMax"/>
        </c:scaling>
        <c:delete val="0"/>
        <c:axPos val="b"/>
        <c:numFmt formatCode="General" sourceLinked="1"/>
        <c:majorTickMark val="none"/>
        <c:minorTickMark val="none"/>
        <c:tickLblPos val="nextTo"/>
        <c:spPr>
          <a:ln w="9525">
            <a:solidFill>
              <a:srgbClr val="2B2E36"/>
            </a:solidFill>
            <a:prstDash val="solid"/>
          </a:ln>
        </c:spPr>
        <c:txPr>
          <a:bodyPr anchorCtr="1"/>
          <a:lstStyle/>
          <a:p>
            <a:pPr>
              <a:defRPr sz="850" b="0" i="0">
                <a:solidFill>
                  <a:srgbClr val="C8CAD0"/>
                </a:solidFill>
                <a:latin typeface="Calibri"/>
                <a:ea typeface="Calibri"/>
                <a:cs typeface="Calibri"/>
              </a:defRPr>
            </a:pPr>
            <a:endParaRPr lang="en-US"/>
          </a:p>
        </c:txPr>
        <c:crossAx val="100"/>
        <c:crosses val="autoZero"/>
        <c:auto val="1"/>
        <c:lblAlgn val="ctr"/>
        <c:lblOffset val="100"/>
        <c:noMultiLvlLbl val="0"/>
      </c:catAx>
      <c:valAx>
        <c:axId val="100"/>
        <c:scaling>
          <c:orientation val="minMax"/>
        </c:scaling>
        <c:delete val="0"/>
        <c:axPos val="l"/>
        <c:majorGridlines>
          <c:spPr>
            <a:ln w="6350">
              <a:solidFill>
                <a:srgbClr val="2B2E36"/>
              </a:solidFill>
              <a:prstDash val="solid"/>
            </a:ln>
          </c:spPr>
        </c:majorGridlines>
        <c:numFmt formatCode="#,##0" sourceLinked="0"/>
        <c:majorTickMark val="none"/>
        <c:minorTickMark val="none"/>
        <c:tickLblPos val="nextTo"/>
        <c:spPr>
          <a:ln w="9525">
            <a:solidFill>
              <a:srgbClr val="2B2E36"/>
            </a:solidFill>
            <a:prstDash val="solid"/>
          </a:ln>
        </c:spPr>
        <c:txPr>
          <a:bodyPr anchorCtr="1"/>
          <a:lstStyle/>
          <a:p>
            <a:pPr>
              <a:defRPr sz="850" b="0" i="0">
                <a:solidFill>
                  <a:srgbClr val="C8CAD0"/>
                </a:solidFill>
                <a:latin typeface="Calibri"/>
                <a:ea typeface="Calibri"/>
                <a:cs typeface="Calibri"/>
              </a:defRPr>
            </a:pPr>
            <a:endParaRPr lang="en-US"/>
          </a:p>
        </c:txPr>
        <c:crossAx val="10"/>
        <c:crosses val="autoZero"/>
        <c:crossBetween val="between"/>
      </c:valAx>
      <c:spPr>
        <a:solidFill>
          <a:srgbClr val="0F1116"/>
        </a:solidFill>
        <a:ln>
          <a:noFill/>
          <a:prstDash val="solid"/>
        </a:ln>
      </c:spPr>
    </c:plotArea>
    <c:legend>
      <c:legendPos val="t"/>
      <c:layout>
        <c:manualLayout>
          <c:xMode val="edge"/>
          <c:yMode val="edge"/>
          <c:x val="0.26099315336463225"/>
          <c:y val="0.92881944444444442"/>
          <c:w val="0.44820148669796556"/>
          <c:h val="7.0643318022747162E-2"/>
        </c:manualLayout>
      </c:layout>
      <c:overlay val="0"/>
      <c:spPr>
        <a:noFill/>
      </c:spPr>
      <c:txPr>
        <a:bodyPr anchorCtr="1"/>
        <a:lstStyle/>
        <a:p>
          <a:pPr>
            <a:defRPr sz="850" b="0" i="0">
              <a:solidFill>
                <a:srgbClr val="C8CAD0"/>
              </a:solidFill>
              <a:latin typeface="Calibri"/>
              <a:ea typeface="Calibri"/>
              <a:cs typeface="Calibri"/>
            </a:defRPr>
          </a:pPr>
          <a:endParaRPr lang="en-US"/>
        </a:p>
      </c:txPr>
    </c:legend>
    <c:plotVisOnly val="1"/>
    <c:dispBlanksAs val="zero"/>
    <c:showDLblsOverMax val="1"/>
  </c:chart>
  <c:spPr>
    <a:solidFill>
      <a:srgbClr val="14161C"/>
    </a:soli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150" b="0">
                <a:solidFill>
                  <a:srgbClr val="FFFFFF"/>
                </a:solidFill>
                <a:latin typeface="Calibri"/>
                <a:ea typeface="Calibri"/>
                <a:cs typeface="Calibri"/>
              </a:rPr>
              <a:t>Profitability Margin Trend — solid = actual, dashed = forecast</a:t>
            </a:r>
          </a:p>
        </c:rich>
      </c:tx>
      <c:overlay val="1"/>
    </c:title>
    <c:autoTitleDeleted val="0"/>
    <c:plotArea>
      <c:layout>
        <c:manualLayout>
          <c:layoutTarget val="inner"/>
          <c:xMode val="edge"/>
          <c:yMode val="edge"/>
          <c:x val="7.4737676056338034E-2"/>
          <c:y val="0.10509186351706039"/>
          <c:w val="0.90041881846635363"/>
          <c:h val="0.75951085659747075"/>
        </c:manualLayout>
      </c:layout>
      <c:lineChart>
        <c:grouping val="standard"/>
        <c:varyColors val="0"/>
        <c:ser>
          <c:idx val="0"/>
          <c:order val="0"/>
          <c:tx>
            <c:v>Gross Margin</c:v>
          </c:tx>
          <c:spPr>
            <a:ln w="25400">
              <a:solidFill>
                <a:srgbClr val="F2F2F4"/>
              </a:solidFill>
              <a:prstDash val="solid"/>
            </a:ln>
          </c:spPr>
          <c:marker>
            <c:symbol val="circle"/>
            <c:size val="5"/>
            <c:spPr>
              <a:solidFill>
                <a:srgbClr val="F2F2F4"/>
              </a:solidFill>
              <a:ln>
                <a:solidFill>
                  <a:srgbClr val="F2F2F4"/>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Analysis'!$I$40:$R$40</c:f>
              <c:numCache>
                <c:formatCode>0.0%;\(0.0%\);"–"</c:formatCode>
                <c:ptCount val="10"/>
                <c:pt idx="0">
                  <c:v>0.25279155751258725</c:v>
                </c:pt>
                <c:pt idx="1">
                  <c:v>0.25598438535758988</c:v>
                </c:pt>
                <c:pt idx="2">
                  <c:v>0.18248891736331488</c:v>
                </c:pt>
                <c:pt idx="3">
                  <c:v>0.17862626676220686</c:v>
                </c:pt>
                <c:pt idx="4">
                  <c:v>0.1802651143661618</c:v>
                </c:pt>
                <c:pt idx="5">
                  <c:v>#N/A</c:v>
                </c:pt>
                <c:pt idx="6">
                  <c:v>#N/A</c:v>
                </c:pt>
                <c:pt idx="7">
                  <c:v>#N/A</c:v>
                </c:pt>
                <c:pt idx="8">
                  <c:v>#N/A</c:v>
                </c:pt>
                <c:pt idx="9">
                  <c:v>#N/A</c:v>
                </c:pt>
              </c:numCache>
            </c:numRef>
          </c:val>
          <c:smooth val="1"/>
          <c:extLst>
            <c:ext xmlns:c16="http://schemas.microsoft.com/office/drawing/2014/chart" uri="{C3380CC4-5D6E-409C-BE32-E72D297353CC}">
              <c16:uniqueId val="{00000000-FFF4-44D1-B070-3EAE9F5D7F30}"/>
            </c:ext>
          </c:extLst>
        </c:ser>
        <c:ser>
          <c:idx val="1"/>
          <c:order val="1"/>
          <c:tx>
            <c:v>EBITDA Margin</c:v>
          </c:tx>
          <c:spPr>
            <a:ln w="25400">
              <a:solidFill>
                <a:srgbClr val="9A9CA2"/>
              </a:solidFill>
              <a:prstDash val="solid"/>
            </a:ln>
          </c:spPr>
          <c:marker>
            <c:symbol val="circle"/>
            <c:size val="5"/>
            <c:spPr>
              <a:solidFill>
                <a:srgbClr val="9A9CA2"/>
              </a:solidFill>
              <a:ln>
                <a:solidFill>
                  <a:srgbClr val="9A9CA2"/>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Analysis'!$I$41:$R$41</c:f>
              <c:numCache>
                <c:formatCode>0.0%;\(0.0%\);"–"</c:formatCode>
                <c:ptCount val="10"/>
                <c:pt idx="0">
                  <c:v>0.17527822678037236</c:v>
                </c:pt>
                <c:pt idx="1">
                  <c:v>0.21363335051926038</c:v>
                </c:pt>
                <c:pt idx="2">
                  <c:v>0.14010106124642283</c:v>
                </c:pt>
                <c:pt idx="3">
                  <c:v>0.12738253659535251</c:v>
                </c:pt>
                <c:pt idx="4">
                  <c:v>0.11075959378658004</c:v>
                </c:pt>
                <c:pt idx="5">
                  <c:v>#N/A</c:v>
                </c:pt>
                <c:pt idx="6">
                  <c:v>#N/A</c:v>
                </c:pt>
                <c:pt idx="7">
                  <c:v>#N/A</c:v>
                </c:pt>
                <c:pt idx="8">
                  <c:v>#N/A</c:v>
                </c:pt>
                <c:pt idx="9">
                  <c:v>#N/A</c:v>
                </c:pt>
              </c:numCache>
            </c:numRef>
          </c:val>
          <c:smooth val="1"/>
          <c:extLst>
            <c:ext xmlns:c16="http://schemas.microsoft.com/office/drawing/2014/chart" uri="{C3380CC4-5D6E-409C-BE32-E72D297353CC}">
              <c16:uniqueId val="{00000001-FFF4-44D1-B070-3EAE9F5D7F30}"/>
            </c:ext>
          </c:extLst>
        </c:ser>
        <c:ser>
          <c:idx val="2"/>
          <c:order val="2"/>
          <c:tx>
            <c:v>EBIT Margin</c:v>
          </c:tx>
          <c:spPr>
            <a:ln w="25400">
              <a:solidFill>
                <a:srgbClr val="E31937"/>
              </a:solidFill>
              <a:prstDash val="solid"/>
            </a:ln>
          </c:spPr>
          <c:marker>
            <c:symbol val="circle"/>
            <c:size val="5"/>
            <c:spPr>
              <a:solidFill>
                <a:srgbClr val="E31937"/>
              </a:solidFill>
              <a:ln>
                <a:solidFill>
                  <a:srgbClr val="E31937"/>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Analysis'!$I$42:$R$42</c:f>
              <c:numCache>
                <c:formatCode>0.0%;\(0.0%\);"–"</c:formatCode>
                <c:ptCount val="10"/>
                <c:pt idx="0">
                  <c:v>0.12119354179439981</c:v>
                </c:pt>
                <c:pt idx="1">
                  <c:v>0.16763644398615291</c:v>
                </c:pt>
                <c:pt idx="2">
                  <c:v>9.1874799789198214E-2</c:v>
                </c:pt>
                <c:pt idx="3">
                  <c:v>7.2433207083631754E-2</c:v>
                </c:pt>
                <c:pt idx="4">
                  <c:v>4.59257384500198E-2</c:v>
                </c:pt>
                <c:pt idx="5">
                  <c:v>#N/A</c:v>
                </c:pt>
                <c:pt idx="6">
                  <c:v>#N/A</c:v>
                </c:pt>
                <c:pt idx="7">
                  <c:v>#N/A</c:v>
                </c:pt>
                <c:pt idx="8">
                  <c:v>#N/A</c:v>
                </c:pt>
                <c:pt idx="9">
                  <c:v>#N/A</c:v>
                </c:pt>
              </c:numCache>
            </c:numRef>
          </c:val>
          <c:smooth val="1"/>
          <c:extLst>
            <c:ext xmlns:c16="http://schemas.microsoft.com/office/drawing/2014/chart" uri="{C3380CC4-5D6E-409C-BE32-E72D297353CC}">
              <c16:uniqueId val="{00000002-FFF4-44D1-B070-3EAE9F5D7F30}"/>
            </c:ext>
          </c:extLst>
        </c:ser>
        <c:ser>
          <c:idx val="3"/>
          <c:order val="3"/>
          <c:tx>
            <c:v>Net Margin</c:v>
          </c:tx>
          <c:spPr>
            <a:ln w="25400">
              <a:solidFill>
                <a:srgbClr val="A11026"/>
              </a:solidFill>
              <a:prstDash val="solid"/>
            </a:ln>
          </c:spPr>
          <c:marker>
            <c:symbol val="circle"/>
            <c:size val="5"/>
            <c:spPr>
              <a:solidFill>
                <a:srgbClr val="A11026"/>
              </a:solidFill>
              <a:ln>
                <a:solidFill>
                  <a:srgbClr val="A11026"/>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Analysis'!$I$43:$R$43</c:f>
              <c:numCache>
                <c:formatCode>0.0%;\(0.0%\);"–"</c:formatCode>
                <c:ptCount val="10"/>
                <c:pt idx="0">
                  <c:v>0.10486223361759806</c:v>
                </c:pt>
                <c:pt idx="1">
                  <c:v>0.15451376101740674</c:v>
                </c:pt>
                <c:pt idx="2">
                  <c:v>0.15473324170998184</c:v>
                </c:pt>
                <c:pt idx="3">
                  <c:v>7.3221414679086771E-2</c:v>
                </c:pt>
                <c:pt idx="4">
                  <c:v>4.0652978582049713E-2</c:v>
                </c:pt>
                <c:pt idx="5">
                  <c:v>#N/A</c:v>
                </c:pt>
                <c:pt idx="6">
                  <c:v>#N/A</c:v>
                </c:pt>
                <c:pt idx="7">
                  <c:v>#N/A</c:v>
                </c:pt>
                <c:pt idx="8">
                  <c:v>#N/A</c:v>
                </c:pt>
                <c:pt idx="9">
                  <c:v>#N/A</c:v>
                </c:pt>
              </c:numCache>
            </c:numRef>
          </c:val>
          <c:smooth val="1"/>
          <c:extLst>
            <c:ext xmlns:c16="http://schemas.microsoft.com/office/drawing/2014/chart" uri="{C3380CC4-5D6E-409C-BE32-E72D297353CC}">
              <c16:uniqueId val="{00000003-FFF4-44D1-B070-3EAE9F5D7F30}"/>
            </c:ext>
          </c:extLst>
        </c:ser>
        <c:ser>
          <c:idx val="4"/>
          <c:order val="4"/>
          <c:tx>
            <c:v>Gross Margin (E)</c:v>
          </c:tx>
          <c:spPr>
            <a:ln w="22225">
              <a:solidFill>
                <a:srgbClr val="F2F2F4"/>
              </a:solidFill>
              <a:prstDash val="dash"/>
            </a:ln>
          </c:spPr>
          <c:marker>
            <c:symbol val="circle"/>
            <c:size val="5"/>
            <c:spPr>
              <a:solidFill>
                <a:srgbClr val="F2F2F4"/>
              </a:solidFill>
              <a:ln>
                <a:solidFill>
                  <a:srgbClr val="F2F2F4"/>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Analysis'!$I$44:$R$44</c:f>
              <c:numCache>
                <c:formatCode>0.0%;\(0.0%\);"–"</c:formatCode>
                <c:ptCount val="10"/>
                <c:pt idx="0">
                  <c:v>#N/A</c:v>
                </c:pt>
                <c:pt idx="1">
                  <c:v>#N/A</c:v>
                </c:pt>
                <c:pt idx="2">
                  <c:v>#N/A</c:v>
                </c:pt>
                <c:pt idx="3">
                  <c:v>#N/A</c:v>
                </c:pt>
                <c:pt idx="4">
                  <c:v>0.1802651143661618</c:v>
                </c:pt>
                <c:pt idx="5">
                  <c:v>0.1980278204509108</c:v>
                </c:pt>
                <c:pt idx="6">
                  <c:v>0.2100127689493678</c:v>
                </c:pt>
                <c:pt idx="7">
                  <c:v>0.2211504276295348</c:v>
                </c:pt>
                <c:pt idx="8">
                  <c:v>0.23021547959952945</c:v>
                </c:pt>
                <c:pt idx="9">
                  <c:v>0.23740559868265618</c:v>
                </c:pt>
              </c:numCache>
            </c:numRef>
          </c:val>
          <c:smooth val="1"/>
          <c:extLst>
            <c:ext xmlns:c16="http://schemas.microsoft.com/office/drawing/2014/chart" uri="{C3380CC4-5D6E-409C-BE32-E72D297353CC}">
              <c16:uniqueId val="{00000004-FFF4-44D1-B070-3EAE9F5D7F30}"/>
            </c:ext>
          </c:extLst>
        </c:ser>
        <c:ser>
          <c:idx val="5"/>
          <c:order val="5"/>
          <c:tx>
            <c:v>EBITDA Margin (E)</c:v>
          </c:tx>
          <c:spPr>
            <a:ln w="22225">
              <a:solidFill>
                <a:srgbClr val="9A9CA2"/>
              </a:solidFill>
              <a:prstDash val="dash"/>
            </a:ln>
          </c:spPr>
          <c:marker>
            <c:symbol val="circle"/>
            <c:size val="5"/>
            <c:spPr>
              <a:solidFill>
                <a:srgbClr val="9A9CA2"/>
              </a:solidFill>
              <a:ln>
                <a:solidFill>
                  <a:srgbClr val="9A9CA2"/>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Analysis'!$I$45:$R$45</c:f>
              <c:numCache>
                <c:formatCode>0.0%;\(0.0%\);"–"</c:formatCode>
                <c:ptCount val="10"/>
                <c:pt idx="0">
                  <c:v>#N/A</c:v>
                </c:pt>
                <c:pt idx="1">
                  <c:v>#N/A</c:v>
                </c:pt>
                <c:pt idx="2">
                  <c:v>#N/A</c:v>
                </c:pt>
                <c:pt idx="3">
                  <c:v>#N/A</c:v>
                </c:pt>
                <c:pt idx="4">
                  <c:v>0.11075959378658004</c:v>
                </c:pt>
                <c:pt idx="5">
                  <c:v>0.13387434288855737</c:v>
                </c:pt>
                <c:pt idx="6">
                  <c:v>0.14440300816681878</c:v>
                </c:pt>
                <c:pt idx="7">
                  <c:v>0.15853357458742465</c:v>
                </c:pt>
                <c:pt idx="8">
                  <c:v>0.17095743948662631</c:v>
                </c:pt>
                <c:pt idx="9">
                  <c:v>0.17996999699392902</c:v>
                </c:pt>
              </c:numCache>
            </c:numRef>
          </c:val>
          <c:smooth val="1"/>
          <c:extLst>
            <c:ext xmlns:c16="http://schemas.microsoft.com/office/drawing/2014/chart" uri="{C3380CC4-5D6E-409C-BE32-E72D297353CC}">
              <c16:uniqueId val="{00000005-FFF4-44D1-B070-3EAE9F5D7F30}"/>
            </c:ext>
          </c:extLst>
        </c:ser>
        <c:ser>
          <c:idx val="6"/>
          <c:order val="6"/>
          <c:tx>
            <c:v>EBIT Margin (E)</c:v>
          </c:tx>
          <c:spPr>
            <a:ln w="22225">
              <a:solidFill>
                <a:srgbClr val="E31937"/>
              </a:solidFill>
              <a:prstDash val="dash"/>
            </a:ln>
          </c:spPr>
          <c:marker>
            <c:symbol val="circle"/>
            <c:size val="5"/>
            <c:spPr>
              <a:solidFill>
                <a:srgbClr val="E31937"/>
              </a:solidFill>
              <a:ln>
                <a:solidFill>
                  <a:srgbClr val="E31937"/>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Analysis'!$I$46:$R$46</c:f>
              <c:numCache>
                <c:formatCode>0.0%;\(0.0%\);"–"</c:formatCode>
                <c:ptCount val="10"/>
                <c:pt idx="0">
                  <c:v>#N/A</c:v>
                </c:pt>
                <c:pt idx="1">
                  <c:v>#N/A</c:v>
                </c:pt>
                <c:pt idx="2">
                  <c:v>#N/A</c:v>
                </c:pt>
                <c:pt idx="3">
                  <c:v>#N/A</c:v>
                </c:pt>
                <c:pt idx="4">
                  <c:v>4.59257384500198E-2</c:v>
                </c:pt>
                <c:pt idx="5">
                  <c:v>6.8027820450910784E-2</c:v>
                </c:pt>
                <c:pt idx="6">
                  <c:v>8.2012768949367765E-2</c:v>
                </c:pt>
                <c:pt idx="7">
                  <c:v>0.1011504276295348</c:v>
                </c:pt>
                <c:pt idx="8">
                  <c:v>0.11721547959952947</c:v>
                </c:pt>
                <c:pt idx="9">
                  <c:v>0.12740559868265619</c:v>
                </c:pt>
              </c:numCache>
            </c:numRef>
          </c:val>
          <c:smooth val="1"/>
          <c:extLst>
            <c:ext xmlns:c16="http://schemas.microsoft.com/office/drawing/2014/chart" uri="{C3380CC4-5D6E-409C-BE32-E72D297353CC}">
              <c16:uniqueId val="{00000006-FFF4-44D1-B070-3EAE9F5D7F30}"/>
            </c:ext>
          </c:extLst>
        </c:ser>
        <c:ser>
          <c:idx val="7"/>
          <c:order val="7"/>
          <c:tx>
            <c:v>Net Margin (E)</c:v>
          </c:tx>
          <c:spPr>
            <a:ln w="22225">
              <a:solidFill>
                <a:srgbClr val="A11026"/>
              </a:solidFill>
              <a:prstDash val="dash"/>
            </a:ln>
          </c:spPr>
          <c:marker>
            <c:symbol val="circle"/>
            <c:size val="5"/>
            <c:spPr>
              <a:solidFill>
                <a:srgbClr val="A11026"/>
              </a:solidFill>
              <a:ln>
                <a:solidFill>
                  <a:srgbClr val="A11026"/>
                </a:solidFill>
                <a:prstDash val="solid"/>
              </a:ln>
            </c:spPr>
          </c:marker>
          <c:cat>
            <c:strRef>
              <c:f>'Ratio Analysis'!$I$39:$R$39</c:f>
              <c:strCache>
                <c:ptCount val="10"/>
                <c:pt idx="0">
                  <c:v>FY21A</c:v>
                </c:pt>
                <c:pt idx="1">
                  <c:v>FY22A</c:v>
                </c:pt>
                <c:pt idx="2">
                  <c:v>FY23A</c:v>
                </c:pt>
                <c:pt idx="3">
                  <c:v>FY24A</c:v>
                </c:pt>
                <c:pt idx="4">
                  <c:v>FY25A</c:v>
                </c:pt>
                <c:pt idx="5">
                  <c:v>FY26E</c:v>
                </c:pt>
                <c:pt idx="6">
                  <c:v>FY27E</c:v>
                </c:pt>
                <c:pt idx="7">
                  <c:v>FY28E</c:v>
                </c:pt>
                <c:pt idx="8">
                  <c:v>FY29E</c:v>
                </c:pt>
                <c:pt idx="9">
                  <c:v>FY30E</c:v>
                </c:pt>
              </c:strCache>
            </c:strRef>
          </c:cat>
          <c:val>
            <c:numRef>
              <c:f>'Ratio Analysis'!$I$47:$R$47</c:f>
              <c:numCache>
                <c:formatCode>0.0%;\(0.0%\);"–"</c:formatCode>
                <c:ptCount val="10"/>
                <c:pt idx="0">
                  <c:v>#N/A</c:v>
                </c:pt>
                <c:pt idx="1">
                  <c:v>#N/A</c:v>
                </c:pt>
                <c:pt idx="2">
                  <c:v>#N/A</c:v>
                </c:pt>
                <c:pt idx="3">
                  <c:v>#N/A</c:v>
                </c:pt>
                <c:pt idx="4">
                  <c:v>4.0652978582049713E-2</c:v>
                </c:pt>
                <c:pt idx="5">
                  <c:v>5.4121077951883555E-2</c:v>
                </c:pt>
                <c:pt idx="6">
                  <c:v>6.5453211742832668E-2</c:v>
                </c:pt>
                <c:pt idx="7">
                  <c:v>8.0677116488411915E-2</c:v>
                </c:pt>
                <c:pt idx="8">
                  <c:v>9.2805725256289856E-2</c:v>
                </c:pt>
                <c:pt idx="9">
                  <c:v>0.10161425106928879</c:v>
                </c:pt>
              </c:numCache>
            </c:numRef>
          </c:val>
          <c:smooth val="1"/>
          <c:extLst>
            <c:ext xmlns:c16="http://schemas.microsoft.com/office/drawing/2014/chart" uri="{C3380CC4-5D6E-409C-BE32-E72D297353CC}">
              <c16:uniqueId val="{00000007-FFF4-44D1-B070-3EAE9F5D7F30}"/>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spPr>
          <a:ln w="9525">
            <a:solidFill>
              <a:srgbClr val="2B2E36"/>
            </a:solidFill>
            <a:prstDash val="solid"/>
          </a:ln>
        </c:spPr>
        <c:txPr>
          <a:bodyPr anchorCtr="1"/>
          <a:lstStyle/>
          <a:p>
            <a:pPr>
              <a:defRPr sz="850" b="0" i="0">
                <a:solidFill>
                  <a:srgbClr val="C8CAD0"/>
                </a:solidFill>
                <a:latin typeface="Calibri"/>
                <a:ea typeface="Calibri"/>
                <a:cs typeface="Calibri"/>
              </a:defRPr>
            </a:pPr>
            <a:endParaRPr lang="en-US"/>
          </a:p>
        </c:txPr>
        <c:crossAx val="100"/>
        <c:crosses val="autoZero"/>
        <c:auto val="1"/>
        <c:lblAlgn val="ctr"/>
        <c:lblOffset val="100"/>
        <c:noMultiLvlLbl val="0"/>
      </c:catAx>
      <c:valAx>
        <c:axId val="100"/>
        <c:scaling>
          <c:orientation val="minMax"/>
        </c:scaling>
        <c:delete val="0"/>
        <c:axPos val="l"/>
        <c:majorGridlines>
          <c:spPr>
            <a:ln w="6350">
              <a:solidFill>
                <a:srgbClr val="2B2E36"/>
              </a:solidFill>
              <a:prstDash val="solid"/>
            </a:ln>
          </c:spPr>
        </c:majorGridlines>
        <c:numFmt formatCode="0%" sourceLinked="0"/>
        <c:majorTickMark val="none"/>
        <c:minorTickMark val="none"/>
        <c:tickLblPos val="nextTo"/>
        <c:spPr>
          <a:ln w="9525">
            <a:solidFill>
              <a:srgbClr val="2B2E36"/>
            </a:solidFill>
            <a:prstDash val="solid"/>
          </a:ln>
        </c:spPr>
        <c:txPr>
          <a:bodyPr anchorCtr="1"/>
          <a:lstStyle/>
          <a:p>
            <a:pPr>
              <a:defRPr sz="850" b="0" i="0">
                <a:solidFill>
                  <a:srgbClr val="C8CAD0"/>
                </a:solidFill>
                <a:latin typeface="Calibri"/>
                <a:ea typeface="Calibri"/>
                <a:cs typeface="Calibri"/>
              </a:defRPr>
            </a:pPr>
            <a:endParaRPr lang="en-US"/>
          </a:p>
        </c:txPr>
        <c:crossAx val="10"/>
        <c:crosses val="autoZero"/>
        <c:crossBetween val="between"/>
      </c:valAx>
      <c:spPr>
        <a:solidFill>
          <a:srgbClr val="0F1116"/>
        </a:solidFill>
        <a:ln>
          <a:noFill/>
          <a:prstDash val="solid"/>
        </a:ln>
      </c:spPr>
    </c:plotArea>
    <c:legend>
      <c:legendPos val="t"/>
      <c:legendEntry>
        <c:idx val="4"/>
        <c:delete val="1"/>
      </c:legendEntry>
      <c:legendEntry>
        <c:idx val="5"/>
        <c:delete val="1"/>
      </c:legendEntry>
      <c:legendEntry>
        <c:idx val="6"/>
        <c:delete val="1"/>
      </c:legendEntry>
      <c:legendEntry>
        <c:idx val="7"/>
        <c:delete val="1"/>
      </c:legendEntry>
      <c:layout>
        <c:manualLayout>
          <c:xMode val="edge"/>
          <c:yMode val="edge"/>
          <c:x val="8.7872456964006265E-2"/>
          <c:y val="0.92192592592592593"/>
          <c:w val="0.81928638497652584"/>
          <c:h val="7.6558518518518512E-2"/>
        </c:manualLayout>
      </c:layout>
      <c:overlay val="0"/>
      <c:spPr>
        <a:noFill/>
      </c:spPr>
      <c:txPr>
        <a:bodyPr anchorCtr="1"/>
        <a:lstStyle/>
        <a:p>
          <a:pPr>
            <a:defRPr sz="850" b="0" i="0">
              <a:solidFill>
                <a:srgbClr val="C8CAD0"/>
              </a:solidFill>
              <a:latin typeface="Calibri"/>
              <a:ea typeface="Calibri"/>
              <a:cs typeface="Calibri"/>
            </a:defRPr>
          </a:pPr>
          <a:endParaRPr lang="en-US"/>
        </a:p>
      </c:txPr>
    </c:legend>
    <c:plotVisOnly val="1"/>
    <c:dispBlanksAs val="zero"/>
    <c:showDLblsOverMax val="1"/>
  </c:chart>
  <c:spPr>
    <a:solidFill>
      <a:srgbClr val="14161C"/>
    </a:soli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150" b="0">
                <a:solidFill>
                  <a:srgbClr val="FFFFFF"/>
                </a:solidFill>
                <a:latin typeface="Calibri"/>
                <a:ea typeface="Calibri"/>
                <a:cs typeface="Calibri"/>
              </a:rPr>
              <a:t>Forecast Free Cash Flow to the Firm — FY2026E–FY2030E</a:t>
            </a:r>
          </a:p>
        </c:rich>
      </c:tx>
      <c:overlay val="1"/>
    </c:title>
    <c:autoTitleDeleted val="0"/>
    <c:plotArea>
      <c:layout/>
      <c:barChart>
        <c:barDir val="col"/>
        <c:grouping val="clustered"/>
        <c:varyColors val="0"/>
        <c:ser>
          <c:idx val="0"/>
          <c:order val="0"/>
          <c:tx>
            <c:v>Free Cash Flow to the Firm</c:v>
          </c:tx>
          <c:spPr>
            <a:solidFill>
              <a:srgbClr val="F2F2F4"/>
            </a:solidFill>
            <a:ln>
              <a:noFill/>
              <a:prstDash val="solid"/>
            </a:ln>
          </c:spPr>
          <c:invertIfNegative val="1"/>
          <c:cat>
            <c:strRef>
              <c:f>Valuation!$L$3:$P$3</c:f>
              <c:strCache>
                <c:ptCount val="5"/>
                <c:pt idx="0">
                  <c:v>FY26E</c:v>
                </c:pt>
                <c:pt idx="1">
                  <c:v>FY27E</c:v>
                </c:pt>
                <c:pt idx="2">
                  <c:v>FY28E</c:v>
                </c:pt>
                <c:pt idx="3">
                  <c:v>FY29E</c:v>
                </c:pt>
                <c:pt idx="4">
                  <c:v>FY30E</c:v>
                </c:pt>
              </c:strCache>
            </c:strRef>
          </c:cat>
          <c:val>
            <c:numRef>
              <c:f>Valuation!$L$28:$P$28</c:f>
              <c:numCache>
                <c:formatCode>#,##0;\(#,##0\);"–"</c:formatCode>
                <c:ptCount val="5"/>
                <c:pt idx="0">
                  <c:v>1262.737165436838</c:v>
                </c:pt>
                <c:pt idx="1">
                  <c:v>4132.8277098297349</c:v>
                </c:pt>
                <c:pt idx="2">
                  <c:v>6195.0764143017841</c:v>
                </c:pt>
                <c:pt idx="3">
                  <c:v>9431.3702082048403</c:v>
                </c:pt>
                <c:pt idx="4">
                  <c:v>10814.999874987327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434B-445D-938B-441BAC20B2CE}"/>
            </c:ext>
          </c:extLst>
        </c:ser>
        <c:dLbls>
          <c:showLegendKey val="0"/>
          <c:showVal val="0"/>
          <c:showCatName val="0"/>
          <c:showSerName val="0"/>
          <c:showPercent val="0"/>
          <c:showBubbleSize val="0"/>
        </c:dLbls>
        <c:gapWidth val="55"/>
        <c:axId val="10"/>
        <c:axId val="100"/>
      </c:barChart>
      <c:catAx>
        <c:axId val="10"/>
        <c:scaling>
          <c:orientation val="minMax"/>
        </c:scaling>
        <c:delete val="0"/>
        <c:axPos val="b"/>
        <c:numFmt formatCode="General" sourceLinked="1"/>
        <c:majorTickMark val="none"/>
        <c:minorTickMark val="none"/>
        <c:tickLblPos val="nextTo"/>
        <c:spPr>
          <a:ln w="9525">
            <a:solidFill>
              <a:srgbClr val="2B2E36"/>
            </a:solidFill>
            <a:prstDash val="solid"/>
          </a:ln>
        </c:spPr>
        <c:txPr>
          <a:bodyPr anchorCtr="1"/>
          <a:lstStyle/>
          <a:p>
            <a:pPr>
              <a:defRPr sz="850" b="0" i="0">
                <a:solidFill>
                  <a:srgbClr val="C8CAD0"/>
                </a:solidFill>
                <a:latin typeface="Calibri"/>
                <a:ea typeface="Calibri"/>
                <a:cs typeface="Calibri"/>
              </a:defRPr>
            </a:pPr>
            <a:endParaRPr lang="en-US"/>
          </a:p>
        </c:txPr>
        <c:crossAx val="100"/>
        <c:crosses val="autoZero"/>
        <c:auto val="1"/>
        <c:lblAlgn val="ctr"/>
        <c:lblOffset val="100"/>
        <c:noMultiLvlLbl val="0"/>
      </c:catAx>
      <c:valAx>
        <c:axId val="100"/>
        <c:scaling>
          <c:orientation val="minMax"/>
        </c:scaling>
        <c:delete val="0"/>
        <c:axPos val="l"/>
        <c:majorGridlines>
          <c:spPr>
            <a:ln w="6350">
              <a:solidFill>
                <a:srgbClr val="2B2E36"/>
              </a:solidFill>
              <a:prstDash val="solid"/>
            </a:ln>
          </c:spPr>
        </c:majorGridlines>
        <c:numFmt formatCode="#,##0" sourceLinked="0"/>
        <c:majorTickMark val="none"/>
        <c:minorTickMark val="none"/>
        <c:tickLblPos val="nextTo"/>
        <c:spPr>
          <a:ln w="9525">
            <a:solidFill>
              <a:srgbClr val="2B2E36"/>
            </a:solidFill>
            <a:prstDash val="solid"/>
          </a:ln>
        </c:spPr>
        <c:txPr>
          <a:bodyPr anchorCtr="1"/>
          <a:lstStyle/>
          <a:p>
            <a:pPr>
              <a:defRPr sz="850" b="0" i="0">
                <a:solidFill>
                  <a:srgbClr val="C8CAD0"/>
                </a:solidFill>
                <a:latin typeface="Calibri"/>
                <a:ea typeface="Calibri"/>
                <a:cs typeface="Calibri"/>
              </a:defRPr>
            </a:pPr>
            <a:endParaRPr lang="en-US"/>
          </a:p>
        </c:txPr>
        <c:crossAx val="10"/>
        <c:crosses val="autoZero"/>
        <c:crossBetween val="between"/>
      </c:valAx>
      <c:spPr>
        <a:solidFill>
          <a:srgbClr val="0F1116"/>
        </a:solidFill>
        <a:ln>
          <a:noFill/>
          <a:prstDash val="solid"/>
        </a:ln>
      </c:spPr>
    </c:plotArea>
    <c:plotVisOnly val="1"/>
    <c:dispBlanksAs val="zero"/>
    <c:showDLblsOverMax val="1"/>
  </c:chart>
  <c:spPr>
    <a:solidFill>
      <a:srgbClr val="14161C"/>
    </a:soli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150" b="0">
                <a:solidFill>
                  <a:srgbClr val="FFFFFF"/>
                </a:solidFill>
                <a:latin typeface="Calibri"/>
                <a:ea typeface="Calibri"/>
                <a:cs typeface="Calibri"/>
              </a:rPr>
              <a:t>Valuation Football Field — implied share price ($)</a:t>
            </a:r>
          </a:p>
        </c:rich>
      </c:tx>
      <c:overlay val="1"/>
    </c:title>
    <c:autoTitleDeleted val="0"/>
    <c:plotArea>
      <c:layout/>
      <c:barChart>
        <c:barDir val="bar"/>
        <c:grouping val="stacked"/>
        <c:varyColors val="0"/>
        <c:ser>
          <c:idx val="0"/>
          <c:order val="0"/>
          <c:tx>
            <c:strRef>
              <c:f>Valuation!$C$90</c:f>
              <c:strCache>
                <c:ptCount val="1"/>
                <c:pt idx="0">
                  <c:v>Base (invisible)</c:v>
                </c:pt>
              </c:strCache>
            </c:strRef>
          </c:tx>
          <c:spPr>
            <a:noFill/>
            <a:ln>
              <a:noFill/>
              <a:prstDash val="solid"/>
            </a:ln>
          </c:spPr>
          <c:invertIfNegative val="1"/>
          <c:cat>
            <c:strRef>
              <c:f>Valuation!$B$91:$B$93</c:f>
              <c:strCache>
                <c:ptCount val="3"/>
                <c:pt idx="0">
                  <c:v>DCF</c:v>
                </c:pt>
                <c:pt idx="1">
                  <c:v>Comparable Companies</c:v>
                </c:pt>
                <c:pt idx="2">
                  <c:v>Current Market Price</c:v>
                </c:pt>
              </c:strCache>
            </c:strRef>
          </c:cat>
          <c:val>
            <c:numRef>
              <c:f>Valuation!$C$91:$C$93</c:f>
              <c:numCache>
                <c:formatCode>#,##0.0;\(#,##0.0\);"–"</c:formatCode>
                <c:ptCount val="3"/>
                <c:pt idx="0">
                  <c:v>26.18457419640416</c:v>
                </c:pt>
                <c:pt idx="1">
                  <c:v>30.271642257489678</c:v>
                </c:pt>
                <c:pt idx="2">
                  <c:v>0</c:v>
                </c:pt>
              </c:numCache>
            </c:numRef>
          </c:val>
          <c:extLst>
            <c:ext xmlns:c16="http://schemas.microsoft.com/office/drawing/2014/chart" uri="{C3380CC4-5D6E-409C-BE32-E72D297353CC}">
              <c16:uniqueId val="{00000000-16BC-4756-805B-3C7C9A3B0B28}"/>
            </c:ext>
          </c:extLst>
        </c:ser>
        <c:ser>
          <c:idx val="1"/>
          <c:order val="1"/>
          <c:tx>
            <c:strRef>
              <c:f>Valuation!$D$90</c:f>
              <c:strCache>
                <c:ptCount val="1"/>
                <c:pt idx="0">
                  <c:v>Low → Base</c:v>
                </c:pt>
              </c:strCache>
            </c:strRef>
          </c:tx>
          <c:spPr>
            <a:solidFill>
              <a:srgbClr val="D9DADD"/>
            </a:solidFill>
            <a:ln>
              <a:noFill/>
              <a:prstDash val="solid"/>
            </a:ln>
          </c:spPr>
          <c:invertIfNegative val="1"/>
          <c:dPt>
            <c:idx val="0"/>
            <c:invertIfNegative val="1"/>
            <c:bubble3D val="0"/>
            <c:extLst>
              <c:ext xmlns:c16="http://schemas.microsoft.com/office/drawing/2014/chart" uri="{C3380CC4-5D6E-409C-BE32-E72D297353CC}">
                <c16:uniqueId val="{00000002-16BC-4756-805B-3C7C9A3B0B28}"/>
              </c:ext>
            </c:extLst>
          </c:dPt>
          <c:dPt>
            <c:idx val="1"/>
            <c:invertIfNegative val="1"/>
            <c:bubble3D val="0"/>
            <c:extLst>
              <c:ext xmlns:c16="http://schemas.microsoft.com/office/drawing/2014/chart" uri="{C3380CC4-5D6E-409C-BE32-E72D297353CC}">
                <c16:uniqueId val="{00000004-16BC-4756-805B-3C7C9A3B0B28}"/>
              </c:ext>
            </c:extLst>
          </c:dPt>
          <c:dPt>
            <c:idx val="2"/>
            <c:invertIfNegative val="1"/>
            <c:bubble3D val="0"/>
            <c:spPr>
              <a:solidFill>
                <a:srgbClr val="E31937"/>
              </a:solidFill>
              <a:ln>
                <a:noFill/>
                <a:prstDash val="solid"/>
              </a:ln>
            </c:spPr>
            <c:extLst>
              <c:ext xmlns:c16="http://schemas.microsoft.com/office/drawing/2014/chart" uri="{C3380CC4-5D6E-409C-BE32-E72D297353CC}">
                <c16:uniqueId val="{00000006-16BC-4756-805B-3C7C9A3B0B28}"/>
              </c:ext>
            </c:extLst>
          </c:dPt>
          <c:dLbls>
            <c:dLbl>
              <c:idx val="2"/>
              <c:spPr/>
              <c:txPr>
                <a:bodyPr anchorCtr="1"/>
                <a:lstStyle/>
                <a:p>
                  <a:pPr>
                    <a:defRPr sz="900" b="1" i="0">
                      <a:solidFill>
                        <a:srgbClr val="FFFFFF"/>
                      </a:solidFill>
                      <a:latin typeface="Calibri"/>
                      <a:ea typeface="Calibri"/>
                      <a:cs typeface="Calibri"/>
                    </a:defRPr>
                  </a:pPr>
                  <a:endParaRPr lang="en-US"/>
                </a:p>
              </c:txPr>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BC-4756-805B-3C7C9A3B0B2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Valuation!$B$91:$B$93</c:f>
              <c:strCache>
                <c:ptCount val="3"/>
                <c:pt idx="0">
                  <c:v>DCF</c:v>
                </c:pt>
                <c:pt idx="1">
                  <c:v>Comparable Companies</c:v>
                </c:pt>
                <c:pt idx="2">
                  <c:v>Current Market Price</c:v>
                </c:pt>
              </c:strCache>
            </c:strRef>
          </c:cat>
          <c:val>
            <c:numRef>
              <c:f>Valuation!$D$91:$D$93</c:f>
              <c:numCache>
                <c:formatCode>#,##0.0;\(#,##0.0\);"–"</c:formatCode>
                <c:ptCount val="3"/>
                <c:pt idx="0">
                  <c:v>5.9848936389017826</c:v>
                </c:pt>
                <c:pt idx="1">
                  <c:v>6.1120077875904801</c:v>
                </c:pt>
                <c:pt idx="2">
                  <c:v>376.37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7-16BC-4756-805B-3C7C9A3B0B28}"/>
            </c:ext>
          </c:extLst>
        </c:ser>
        <c:ser>
          <c:idx val="2"/>
          <c:order val="2"/>
          <c:tx>
            <c:strRef>
              <c:f>Valuation!$E$90</c:f>
              <c:strCache>
                <c:ptCount val="1"/>
                <c:pt idx="0">
                  <c:v>Base marker</c:v>
                </c:pt>
              </c:strCache>
            </c:strRef>
          </c:tx>
          <c:spPr>
            <a:solidFill>
              <a:srgbClr val="E31937"/>
            </a:solidFill>
            <a:ln>
              <a:noFill/>
              <a:prstDash val="solid"/>
            </a:ln>
          </c:spPr>
          <c:invertIfNegative val="1"/>
          <c:dPt>
            <c:idx val="0"/>
            <c:invertIfNegative val="1"/>
            <c:bubble3D val="0"/>
            <c:extLst>
              <c:ext xmlns:c16="http://schemas.microsoft.com/office/drawing/2014/chart" uri="{C3380CC4-5D6E-409C-BE32-E72D297353CC}">
                <c16:uniqueId val="{00000009-16BC-4756-805B-3C7C9A3B0B28}"/>
              </c:ext>
            </c:extLst>
          </c:dPt>
          <c:dPt>
            <c:idx val="1"/>
            <c:invertIfNegative val="1"/>
            <c:bubble3D val="0"/>
            <c:extLst>
              <c:ext xmlns:c16="http://schemas.microsoft.com/office/drawing/2014/chart" uri="{C3380CC4-5D6E-409C-BE32-E72D297353CC}">
                <c16:uniqueId val="{0000000B-16BC-4756-805B-3C7C9A3B0B28}"/>
              </c:ext>
            </c:extLst>
          </c:dPt>
          <c:dPt>
            <c:idx val="2"/>
            <c:invertIfNegative val="1"/>
            <c:bubble3D val="0"/>
            <c:extLst>
              <c:ext xmlns:c16="http://schemas.microsoft.com/office/drawing/2014/chart" uri="{C3380CC4-5D6E-409C-BE32-E72D297353CC}">
                <c16:uniqueId val="{0000000D-16BC-4756-805B-3C7C9A3B0B28}"/>
              </c:ext>
            </c:extLst>
          </c:dPt>
          <c:cat>
            <c:strRef>
              <c:f>Valuation!$B$91:$B$93</c:f>
              <c:strCache>
                <c:ptCount val="3"/>
                <c:pt idx="0">
                  <c:v>DCF</c:v>
                </c:pt>
                <c:pt idx="1">
                  <c:v>Comparable Companies</c:v>
                </c:pt>
                <c:pt idx="2">
                  <c:v>Current Market Price</c:v>
                </c:pt>
              </c:strCache>
            </c:strRef>
          </c:cat>
          <c:val>
            <c:numRef>
              <c:f>Valuation!$E$91:$E$93</c:f>
              <c:numCache>
                <c:formatCode>#,##0.0;\(#,##0.0\);"–"</c:formatCode>
                <c:ptCount val="3"/>
                <c:pt idx="0">
                  <c:v>0.8</c:v>
                </c:pt>
                <c:pt idx="1">
                  <c:v>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E-16BC-4756-805B-3C7C9A3B0B28}"/>
            </c:ext>
          </c:extLst>
        </c:ser>
        <c:ser>
          <c:idx val="3"/>
          <c:order val="3"/>
          <c:tx>
            <c:strRef>
              <c:f>Valuation!$F$90</c:f>
              <c:strCache>
                <c:ptCount val="1"/>
                <c:pt idx="0">
                  <c:v>Base → High</c:v>
                </c:pt>
              </c:strCache>
            </c:strRef>
          </c:tx>
          <c:spPr>
            <a:solidFill>
              <a:srgbClr val="8F9198"/>
            </a:solidFill>
            <a:ln>
              <a:noFill/>
              <a:prstDash val="solid"/>
            </a:ln>
          </c:spPr>
          <c:invertIfNegative val="1"/>
          <c:dPt>
            <c:idx val="0"/>
            <c:invertIfNegative val="1"/>
            <c:bubble3D val="0"/>
            <c:extLst>
              <c:ext xmlns:c16="http://schemas.microsoft.com/office/drawing/2014/chart" uri="{C3380CC4-5D6E-409C-BE32-E72D297353CC}">
                <c16:uniqueId val="{00000010-16BC-4756-805B-3C7C9A3B0B28}"/>
              </c:ext>
            </c:extLst>
          </c:dPt>
          <c:dPt>
            <c:idx val="1"/>
            <c:invertIfNegative val="1"/>
            <c:bubble3D val="0"/>
            <c:extLst>
              <c:ext xmlns:c16="http://schemas.microsoft.com/office/drawing/2014/chart" uri="{C3380CC4-5D6E-409C-BE32-E72D297353CC}">
                <c16:uniqueId val="{00000012-16BC-4756-805B-3C7C9A3B0B28}"/>
              </c:ext>
            </c:extLst>
          </c:dPt>
          <c:dPt>
            <c:idx val="2"/>
            <c:invertIfNegative val="1"/>
            <c:bubble3D val="0"/>
            <c:spPr>
              <a:noFill/>
              <a:ln>
                <a:noFill/>
                <a:prstDash val="solid"/>
              </a:ln>
            </c:spPr>
            <c:extLst>
              <c:ext xmlns:c16="http://schemas.microsoft.com/office/drawing/2014/chart" uri="{C3380CC4-5D6E-409C-BE32-E72D297353CC}">
                <c16:uniqueId val="{00000014-16BC-4756-805B-3C7C9A3B0B28}"/>
              </c:ext>
            </c:extLst>
          </c:dPt>
          <c:cat>
            <c:strRef>
              <c:f>Valuation!$B$91:$B$93</c:f>
              <c:strCache>
                <c:ptCount val="3"/>
                <c:pt idx="0">
                  <c:v>DCF</c:v>
                </c:pt>
                <c:pt idx="1">
                  <c:v>Comparable Companies</c:v>
                </c:pt>
                <c:pt idx="2">
                  <c:v>Current Market Price</c:v>
                </c:pt>
              </c:strCache>
            </c:strRef>
          </c:cat>
          <c:val>
            <c:numRef>
              <c:f>Valuation!$F$91:$F$93</c:f>
              <c:numCache>
                <c:formatCode>#,##0.0;\(#,##0.0\);"–"</c:formatCode>
                <c:ptCount val="3"/>
                <c:pt idx="0">
                  <c:v>12.852962346337184</c:v>
                </c:pt>
                <c:pt idx="1">
                  <c:v>14.586826773302617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15-16BC-4756-805B-3C7C9A3B0B28}"/>
            </c:ext>
          </c:extLst>
        </c:ser>
        <c:dLbls>
          <c:showLegendKey val="0"/>
          <c:showVal val="0"/>
          <c:showCatName val="0"/>
          <c:showSerName val="0"/>
          <c:showPercent val="0"/>
          <c:showBubbleSize val="0"/>
        </c:dLbls>
        <c:gapWidth val="58"/>
        <c:overlap val="100"/>
        <c:axId val="10"/>
        <c:axId val="100"/>
      </c:barChart>
      <c:catAx>
        <c:axId val="10"/>
        <c:scaling>
          <c:orientation val="minMax"/>
        </c:scaling>
        <c:delete val="0"/>
        <c:axPos val="l"/>
        <c:numFmt formatCode="General" sourceLinked="1"/>
        <c:majorTickMark val="none"/>
        <c:minorTickMark val="none"/>
        <c:tickLblPos val="nextTo"/>
        <c:spPr>
          <a:ln w="9525">
            <a:solidFill>
              <a:srgbClr val="2B2E36"/>
            </a:solidFill>
            <a:prstDash val="solid"/>
          </a:ln>
        </c:spPr>
        <c:txPr>
          <a:bodyPr anchorCtr="1"/>
          <a:lstStyle/>
          <a:p>
            <a:pPr>
              <a:defRPr sz="900" b="0" i="0">
                <a:solidFill>
                  <a:srgbClr val="C8CAD0"/>
                </a:solidFill>
                <a:latin typeface="Calibri"/>
                <a:ea typeface="Calibri"/>
                <a:cs typeface="Calibri"/>
              </a:defRPr>
            </a:pPr>
            <a:endParaRPr lang="en-US"/>
          </a:p>
        </c:txPr>
        <c:crossAx val="100"/>
        <c:crosses val="autoZero"/>
        <c:auto val="1"/>
        <c:lblAlgn val="ctr"/>
        <c:lblOffset val="100"/>
        <c:noMultiLvlLbl val="0"/>
      </c:catAx>
      <c:valAx>
        <c:axId val="100"/>
        <c:scaling>
          <c:orientation val="minMax"/>
          <c:max val="60"/>
          <c:min val="0"/>
        </c:scaling>
        <c:delete val="0"/>
        <c:axPos val="b"/>
        <c:majorGridlines>
          <c:spPr>
            <a:ln w="6350">
              <a:solidFill>
                <a:srgbClr val="2B2E36"/>
              </a:solidFill>
              <a:prstDash val="solid"/>
            </a:ln>
          </c:spPr>
        </c:majorGridlines>
        <c:numFmt formatCode="\$#,##0" sourceLinked="0"/>
        <c:majorTickMark val="none"/>
        <c:minorTickMark val="none"/>
        <c:tickLblPos val="nextTo"/>
        <c:spPr>
          <a:ln w="9525">
            <a:solidFill>
              <a:srgbClr val="2B2E36"/>
            </a:solidFill>
            <a:prstDash val="solid"/>
          </a:ln>
        </c:spPr>
        <c:txPr>
          <a:bodyPr anchorCtr="1"/>
          <a:lstStyle/>
          <a:p>
            <a:pPr>
              <a:defRPr sz="850" b="0" i="0">
                <a:solidFill>
                  <a:srgbClr val="C8CAD0"/>
                </a:solidFill>
                <a:latin typeface="Calibri"/>
                <a:ea typeface="Calibri"/>
                <a:cs typeface="Calibri"/>
              </a:defRPr>
            </a:pPr>
            <a:endParaRPr lang="en-US"/>
          </a:p>
        </c:txPr>
        <c:crossAx val="10"/>
        <c:crosses val="autoZero"/>
        <c:crossBetween val="between"/>
        <c:majorUnit val="10"/>
      </c:valAx>
      <c:spPr>
        <a:solidFill>
          <a:srgbClr val="0F1116"/>
        </a:solidFill>
        <a:ln>
          <a:noFill/>
          <a:prstDash val="solid"/>
        </a:ln>
      </c:spPr>
    </c:plotArea>
    <c:plotVisOnly val="1"/>
    <c:dispBlanksAs val="zero"/>
    <c:showDLblsOverMax val="1"/>
  </c:chart>
  <c:spPr>
    <a:solidFill>
      <a:srgbClr val="14161C"/>
    </a:soli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14</xdr:row>
      <xdr:rowOff>0</xdr:rowOff>
    </xdr:from>
    <xdr:ext cx="5112000" cy="2926080"/>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14</xdr:row>
      <xdr:rowOff>0</xdr:rowOff>
    </xdr:from>
    <xdr:ext cx="5112000" cy="2933700"/>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30</xdr:row>
      <xdr:rowOff>0</xdr:rowOff>
    </xdr:from>
    <xdr:ext cx="5112000" cy="2700000"/>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11</xdr:col>
      <xdr:colOff>0</xdr:colOff>
      <xdr:row>30</xdr:row>
      <xdr:rowOff>0</xdr:rowOff>
    </xdr:from>
    <xdr:ext cx="5112000" cy="2700000"/>
    <xdr:graphicFrame macro="">
      <xdr:nvGraphicFramePr>
        <xdr:cNvPr id="5" nam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17</xdr:col>
      <xdr:colOff>0</xdr:colOff>
      <xdr:row>4</xdr:row>
      <xdr:rowOff>19050</xdr:rowOff>
    </xdr:from>
    <xdr:to>
      <xdr:col>25</xdr:col>
      <xdr:colOff>0</xdr:colOff>
      <xdr:row>15</xdr:row>
      <xdr:rowOff>0</xdr:rowOff>
    </xdr:to>
    <xdr:sp macro="" textlink="">
      <xdr:nvSpPr>
        <xdr:cNvPr id="2" name="Rationale AUTOMOTIVE">
          <a:extLst>
            <a:ext uri="{FF2B5EF4-FFF2-40B4-BE49-F238E27FC236}">
              <a16:creationId xmlns:a16="http://schemas.microsoft.com/office/drawing/2014/main" id="{00000000-0008-0000-0200-000002000000}"/>
            </a:ext>
          </a:extLst>
        </xdr:cNvPr>
        <xdr:cNvSpPr>
          <a:spLocks noGrp="1"/>
        </xdr:cNvSpPr>
      </xdr:nvSpPr>
      <xdr:spPr>
        <a:xfrm>
          <a:off x="0" y="0"/>
          <a:ext cx="7010400" cy="1668780"/>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AUTOMOTIVE</a:t>
          </a:r>
          <a:endParaRPr/>
        </a:p>
        <a:p>
          <a:pPr>
            <a:lnSpc>
              <a:spcPct val="104000"/>
            </a:lnSpc>
            <a:buNone/>
          </a:pPr>
          <a:r>
            <a:rPr sz="750" b="1">
              <a:solidFill>
                <a:srgbClr val="171A20"/>
              </a:solidFill>
              <a:latin typeface="Calibri"/>
              <a:ea typeface="Calibri"/>
              <a:cs typeface="Calibri"/>
            </a:rPr>
            <a:t>Vehicle deliveries — </a:t>
          </a:r>
          <a:r>
            <a:rPr sz="750">
              <a:solidFill>
                <a:srgbClr val="5F6167"/>
              </a:solidFill>
              <a:latin typeface="Calibri"/>
              <a:ea typeface="Calibri"/>
              <a:cs typeface="Calibri"/>
            </a:rPr>
            <a:t>recovery from 1.64m in FY2025A to 2.54m by FY2030E, a 9.2% CAGR (+6%, +10%, +12%, +10%, +8%). Growth is rebuilt gradually rather than extrapolated from the FY2021–FY2023 ramp.</a:t>
          </a:r>
          <a:endParaRPr/>
        </a:p>
        <a:p>
          <a:pPr>
            <a:lnSpc>
              <a:spcPct val="104000"/>
            </a:lnSpc>
            <a:buNone/>
          </a:pPr>
          <a:r>
            <a:rPr sz="750" b="1">
              <a:solidFill>
                <a:srgbClr val="171A20"/>
              </a:solidFill>
              <a:latin typeface="Calibri"/>
              <a:ea typeface="Calibri"/>
              <a:cs typeface="Calibri"/>
            </a:rPr>
            <a:t>ASP per delivery — </a:t>
          </a:r>
          <a:r>
            <a:rPr sz="750">
              <a:solidFill>
                <a:srgbClr val="5F6167"/>
              </a:solidFill>
              <a:latin typeface="Calibri"/>
              <a:ea typeface="Calibri"/>
              <a:cs typeface="Calibri"/>
            </a:rPr>
            <a:t>(3.0%), (2.0%), then +1.0%, +1.0%, +2.0%. Pricing stays under competitive pressure near term before stabilising, so the forecast never relies on unit growth alone.</a:t>
          </a:r>
          <a:endParaRPr/>
        </a:p>
        <a:p>
          <a:pPr>
            <a:lnSpc>
              <a:spcPct val="104000"/>
            </a:lnSpc>
            <a:buNone/>
          </a:pPr>
          <a:r>
            <a:rPr sz="750" b="1">
              <a:solidFill>
                <a:srgbClr val="171A20"/>
              </a:solidFill>
              <a:latin typeface="Calibri"/>
              <a:ea typeface="Calibri"/>
              <a:cs typeface="Calibri"/>
            </a:rPr>
            <a:t>Regulatory credits — </a:t>
          </a:r>
          <a:r>
            <a:rPr sz="750">
              <a:solidFill>
                <a:srgbClr val="5F6167"/>
              </a:solidFill>
              <a:latin typeface="Calibri"/>
              <a:ea typeface="Calibri"/>
              <a:cs typeface="Calibri"/>
            </a:rPr>
            <a:t>declining 30%, 20%, 10%, 5%, 5% as other OEMs meet emissions rules from their own fleets — treated as a wasting revenue stream, not a perpetual one.</a:t>
          </a:r>
          <a:endParaRPr/>
        </a:p>
        <a:p>
          <a:pPr>
            <a:lnSpc>
              <a:spcPct val="104000"/>
            </a:lnSpc>
            <a:buNone/>
          </a:pPr>
          <a:r>
            <a:rPr sz="750" b="1">
              <a:solidFill>
                <a:srgbClr val="171A20"/>
              </a:solidFill>
              <a:latin typeface="Calibri"/>
              <a:ea typeface="Calibri"/>
              <a:cs typeface="Calibri"/>
            </a:rPr>
            <a:t>Automotive gross margin — </a:t>
          </a:r>
          <a:r>
            <a:rPr sz="750">
              <a:solidFill>
                <a:srgbClr val="5F6167"/>
              </a:solidFill>
              <a:latin typeface="Calibri"/>
              <a:ea typeface="Calibri"/>
              <a:cs typeface="Calibri"/>
            </a:rPr>
            <a:t>19.0% rising to 23.0%: a partial recovery from the depressed FY2025A level on scale and manufacturing cost, deliberately held below the FY2022 peak.</a:t>
          </a:r>
          <a:endParaRPr/>
        </a:p>
      </xdr:txBody>
    </xdr:sp>
    <xdr:clientData/>
  </xdr:twoCellAnchor>
  <xdr:twoCellAnchor editAs="oneCell">
    <xdr:from>
      <xdr:col>17</xdr:col>
      <xdr:colOff>0</xdr:colOff>
      <xdr:row>15</xdr:row>
      <xdr:rowOff>19050</xdr:rowOff>
    </xdr:from>
    <xdr:to>
      <xdr:col>25</xdr:col>
      <xdr:colOff>0</xdr:colOff>
      <xdr:row>19</xdr:row>
      <xdr:rowOff>0</xdr:rowOff>
    </xdr:to>
    <xdr:sp macro="" textlink="">
      <xdr:nvSpPr>
        <xdr:cNvPr id="3" name="Rationale ENERGY GENERATION &amp; STORAGE">
          <a:extLst>
            <a:ext uri="{FF2B5EF4-FFF2-40B4-BE49-F238E27FC236}">
              <a16:creationId xmlns:a16="http://schemas.microsoft.com/office/drawing/2014/main" id="{00000000-0008-0000-0200-000003000000}"/>
            </a:ext>
          </a:extLst>
        </xdr:cNvPr>
        <xdr:cNvSpPr>
          <a:spLocks noGrp="1"/>
        </xdr:cNvSpPr>
      </xdr:nvSpPr>
      <xdr:spPr>
        <a:xfrm>
          <a:off x="0" y="0"/>
          <a:ext cx="7010400" cy="716280"/>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ENERGY GENERATION &amp; STORAGE</a:t>
          </a:r>
          <a:endParaRPr/>
        </a:p>
        <a:p>
          <a:pPr>
            <a:lnSpc>
              <a:spcPct val="104000"/>
            </a:lnSpc>
            <a:buNone/>
          </a:pPr>
          <a:r>
            <a:rPr sz="750" b="1">
              <a:solidFill>
                <a:srgbClr val="171A20"/>
              </a:solidFill>
              <a:latin typeface="Calibri"/>
              <a:ea typeface="Calibri"/>
              <a:cs typeface="Calibri"/>
            </a:rPr>
            <a:t>Revenue growth — </a:t>
          </a:r>
          <a:r>
            <a:rPr sz="750">
              <a:solidFill>
                <a:srgbClr val="5F6167"/>
              </a:solidFill>
              <a:latin typeface="Calibri"/>
              <a:ea typeface="Calibri"/>
              <a:cs typeface="Calibri"/>
            </a:rPr>
            <a:t>30% in FY2026E decelerating to 15% by FY2030E ($12,771M → $33,794M). The fastest-growing modelled segment; deceleration reflects a larger base, not weaker demand.</a:t>
          </a:r>
          <a:endParaRPr/>
        </a:p>
        <a:p>
          <a:pPr>
            <a:lnSpc>
              <a:spcPct val="104000"/>
            </a:lnSpc>
            <a:buNone/>
          </a:pPr>
          <a:r>
            <a:rPr sz="750" b="1">
              <a:solidFill>
                <a:srgbClr val="171A20"/>
              </a:solidFill>
              <a:latin typeface="Calibri"/>
              <a:ea typeface="Calibri"/>
              <a:cs typeface="Calibri"/>
            </a:rPr>
            <a:t>Gross margin — </a:t>
          </a:r>
          <a:r>
            <a:rPr sz="750">
              <a:solidFill>
                <a:srgbClr val="5F6167"/>
              </a:solidFill>
              <a:latin typeface="Calibri"/>
              <a:ea typeface="Calibri"/>
              <a:cs typeface="Calibri"/>
            </a:rPr>
            <a:t>30.0% rising to 32.0% as deployments scale and mix shifts toward grid-scale storage.</a:t>
          </a:r>
          <a:endParaRPr/>
        </a:p>
      </xdr:txBody>
    </xdr:sp>
    <xdr:clientData/>
  </xdr:twoCellAnchor>
  <xdr:twoCellAnchor editAs="oneCell">
    <xdr:from>
      <xdr:col>17</xdr:col>
      <xdr:colOff>0</xdr:colOff>
      <xdr:row>19</xdr:row>
      <xdr:rowOff>19050</xdr:rowOff>
    </xdr:from>
    <xdr:to>
      <xdr:col>25</xdr:col>
      <xdr:colOff>0</xdr:colOff>
      <xdr:row>23</xdr:row>
      <xdr:rowOff>0</xdr:rowOff>
    </xdr:to>
    <xdr:sp macro="" textlink="">
      <xdr:nvSpPr>
        <xdr:cNvPr id="4" name="Rationale SERVICES &amp; OTHER">
          <a:extLst>
            <a:ext uri="{FF2B5EF4-FFF2-40B4-BE49-F238E27FC236}">
              <a16:creationId xmlns:a16="http://schemas.microsoft.com/office/drawing/2014/main" id="{00000000-0008-0000-0200-000004000000}"/>
            </a:ext>
          </a:extLst>
        </xdr:cNvPr>
        <xdr:cNvSpPr>
          <a:spLocks noGrp="1"/>
        </xdr:cNvSpPr>
      </xdr:nvSpPr>
      <xdr:spPr>
        <a:xfrm>
          <a:off x="0" y="0"/>
          <a:ext cx="7010400" cy="716280"/>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SERVICES &amp; OTHER</a:t>
          </a:r>
          <a:endParaRPr/>
        </a:p>
        <a:p>
          <a:pPr>
            <a:lnSpc>
              <a:spcPct val="104000"/>
            </a:lnSpc>
            <a:buNone/>
          </a:pPr>
          <a:r>
            <a:rPr sz="750" b="1">
              <a:solidFill>
                <a:srgbClr val="171A20"/>
              </a:solidFill>
              <a:latin typeface="Calibri"/>
              <a:ea typeface="Calibri"/>
              <a:cs typeface="Calibri"/>
            </a:rPr>
            <a:t>Revenue growth — </a:t>
          </a:r>
          <a:r>
            <a:rPr sz="750">
              <a:solidFill>
                <a:srgbClr val="5F6167"/>
              </a:solidFill>
              <a:latin typeface="Calibri"/>
              <a:ea typeface="Calibri"/>
              <a:cs typeface="Calibri"/>
            </a:rPr>
            <a:t>15% decelerating to 11%, tied to the growing installed vehicle base — after-sales, used vehicles, charging and insurance.</a:t>
          </a:r>
          <a:endParaRPr/>
        </a:p>
        <a:p>
          <a:pPr>
            <a:lnSpc>
              <a:spcPct val="104000"/>
            </a:lnSpc>
            <a:buNone/>
          </a:pPr>
          <a:r>
            <a:rPr sz="750" b="1">
              <a:solidFill>
                <a:srgbClr val="171A20"/>
              </a:solidFill>
              <a:latin typeface="Calibri"/>
              <a:ea typeface="Calibri"/>
              <a:cs typeface="Calibri"/>
            </a:rPr>
            <a:t>Gross margin — </a:t>
          </a:r>
          <a:r>
            <a:rPr sz="750">
              <a:solidFill>
                <a:srgbClr val="5F6167"/>
              </a:solidFill>
              <a:latin typeface="Calibri"/>
              <a:ea typeface="Calibri"/>
              <a:cs typeface="Calibri"/>
            </a:rPr>
            <a:t>12.0% rising to 15.0% on maturing service economics; kept well below the other segments because the mix stays weighted to lower-margin activity.</a:t>
          </a:r>
          <a:endParaRPr/>
        </a:p>
      </xdr:txBody>
    </xdr:sp>
    <xdr:clientData/>
  </xdr:twoCellAnchor>
  <xdr:twoCellAnchor editAs="oneCell">
    <xdr:from>
      <xdr:col>17</xdr:col>
      <xdr:colOff>0</xdr:colOff>
      <xdr:row>23</xdr:row>
      <xdr:rowOff>19050</xdr:rowOff>
    </xdr:from>
    <xdr:to>
      <xdr:col>25</xdr:col>
      <xdr:colOff>0</xdr:colOff>
      <xdr:row>27</xdr:row>
      <xdr:rowOff>0</xdr:rowOff>
    </xdr:to>
    <xdr:sp macro="" textlink="">
      <xdr:nvSpPr>
        <xdr:cNvPr id="5" name="Rationale OPERATING EXPENSES">
          <a:extLst>
            <a:ext uri="{FF2B5EF4-FFF2-40B4-BE49-F238E27FC236}">
              <a16:creationId xmlns:a16="http://schemas.microsoft.com/office/drawing/2014/main" id="{00000000-0008-0000-0200-000005000000}"/>
            </a:ext>
          </a:extLst>
        </xdr:cNvPr>
        <xdr:cNvSpPr>
          <a:spLocks noGrp="1"/>
        </xdr:cNvSpPr>
      </xdr:nvSpPr>
      <xdr:spPr>
        <a:xfrm>
          <a:off x="0" y="0"/>
          <a:ext cx="7010400" cy="716280"/>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OPERATING EXPENSES</a:t>
          </a:r>
          <a:endParaRPr/>
        </a:p>
        <a:p>
          <a:pPr>
            <a:lnSpc>
              <a:spcPct val="104000"/>
            </a:lnSpc>
            <a:buNone/>
          </a:pPr>
          <a:r>
            <a:rPr sz="750" b="1">
              <a:solidFill>
                <a:srgbClr val="171A20"/>
              </a:solidFill>
              <a:latin typeface="Calibri"/>
              <a:ea typeface="Calibri"/>
              <a:cs typeface="Calibri"/>
            </a:rPr>
            <a:t>R&amp;D — </a:t>
          </a:r>
          <a:r>
            <a:rPr sz="750">
              <a:solidFill>
                <a:srgbClr val="5F6167"/>
              </a:solidFill>
              <a:latin typeface="Calibri"/>
              <a:ea typeface="Calibri"/>
              <a:cs typeface="Calibri"/>
            </a:rPr>
            <a:t>7.0% of revenue falling to 6.0%. Absolute spend still rises every year — the ratio falls because revenue grows faster, giving leverage without assuming a cut in investment.</a:t>
          </a:r>
          <a:endParaRPr/>
        </a:p>
        <a:p>
          <a:pPr>
            <a:lnSpc>
              <a:spcPct val="104000"/>
            </a:lnSpc>
            <a:buNone/>
          </a:pPr>
          <a:r>
            <a:rPr sz="750" b="1">
              <a:solidFill>
                <a:srgbClr val="171A20"/>
              </a:solidFill>
              <a:latin typeface="Calibri"/>
              <a:ea typeface="Calibri"/>
              <a:cs typeface="Calibri"/>
            </a:rPr>
            <a:t>SG&amp;A — </a:t>
          </a:r>
          <a:r>
            <a:rPr sz="750">
              <a:solidFill>
                <a:srgbClr val="5F6167"/>
              </a:solidFill>
              <a:latin typeface="Calibri"/>
              <a:ea typeface="Calibri"/>
              <a:cs typeface="Calibri"/>
            </a:rPr>
            <a:t>6.0% of revenue falling to 5.0% on the same logic. Restructuring is set to nil, being non-recurring.</a:t>
          </a:r>
          <a:endParaRPr/>
        </a:p>
      </xdr:txBody>
    </xdr:sp>
    <xdr:clientData/>
  </xdr:twoCellAnchor>
  <xdr:twoCellAnchor editAs="oneCell">
    <xdr:from>
      <xdr:col>17</xdr:col>
      <xdr:colOff>0</xdr:colOff>
      <xdr:row>27</xdr:row>
      <xdr:rowOff>19050</xdr:rowOff>
    </xdr:from>
    <xdr:to>
      <xdr:col>25</xdr:col>
      <xdr:colOff>0</xdr:colOff>
      <xdr:row>39</xdr:row>
      <xdr:rowOff>0</xdr:rowOff>
    </xdr:to>
    <xdr:sp macro="" textlink="">
      <xdr:nvSpPr>
        <xdr:cNvPr id="6" name="Rationale WORKING CAPITAL">
          <a:extLst>
            <a:ext uri="{FF2B5EF4-FFF2-40B4-BE49-F238E27FC236}">
              <a16:creationId xmlns:a16="http://schemas.microsoft.com/office/drawing/2014/main" id="{00000000-0008-0000-0200-000006000000}"/>
            </a:ext>
          </a:extLst>
        </xdr:cNvPr>
        <xdr:cNvSpPr>
          <a:spLocks noGrp="1"/>
        </xdr:cNvSpPr>
      </xdr:nvSpPr>
      <xdr:spPr>
        <a:xfrm>
          <a:off x="0" y="0"/>
          <a:ext cx="7010400" cy="2082799"/>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WORKING CAPITAL</a:t>
          </a:r>
          <a:endParaRPr/>
        </a:p>
        <a:p>
          <a:pPr>
            <a:lnSpc>
              <a:spcPct val="104000"/>
            </a:lnSpc>
            <a:buNone/>
          </a:pPr>
          <a:r>
            <a:rPr sz="750" b="1">
              <a:solidFill>
                <a:srgbClr val="171A20"/>
              </a:solidFill>
              <a:latin typeface="Calibri"/>
              <a:ea typeface="Calibri"/>
              <a:cs typeface="Calibri"/>
            </a:rPr>
            <a:t>Receivable, inventory and payable days — </a:t>
          </a:r>
          <a:r>
            <a:rPr sz="750">
              <a:solidFill>
                <a:srgbClr val="5F6167"/>
              </a:solidFill>
              <a:latin typeface="Calibri"/>
              <a:ea typeface="Calibri"/>
              <a:cs typeface="Calibri"/>
            </a:rPr>
            <a:t>18 → 17, 55 → 48 and 62 → 60 respectively: modest efficiency gains consistent with a maturing manufacturing base, not an aggressive release of working capital.</a:t>
          </a:r>
          <a:endParaRPr/>
        </a:p>
        <a:p>
          <a:pPr>
            <a:lnSpc>
              <a:spcPct val="104000"/>
            </a:lnSpc>
            <a:buNone/>
          </a:pPr>
          <a:r>
            <a:rPr sz="750" b="1">
              <a:solidFill>
                <a:srgbClr val="171A20"/>
              </a:solidFill>
              <a:latin typeface="Calibri"/>
              <a:ea typeface="Calibri"/>
              <a:cs typeface="Calibri"/>
            </a:rPr>
            <a:t>Other current assets and accrued liabilities — </a:t>
          </a:r>
          <a:r>
            <a:rPr sz="750">
              <a:solidFill>
                <a:srgbClr val="5F6167"/>
              </a:solidFill>
              <a:latin typeface="Calibri"/>
              <a:ea typeface="Calibri"/>
              <a:cs typeface="Calibri"/>
            </a:rPr>
            <a:t>38% → 42% and 13% → 12% of revenue, both held close to their historical relationship to the top line.</a:t>
          </a:r>
          <a:endParaRPr/>
        </a:p>
        <a:p>
          <a:pPr>
            <a:lnSpc>
              <a:spcPct val="104000"/>
            </a:lnSpc>
            <a:buNone/>
          </a:pPr>
          <a:r>
            <a:rPr sz="750" b="1">
              <a:solidFill>
                <a:srgbClr val="171A20"/>
              </a:solidFill>
              <a:latin typeface="Calibri"/>
              <a:ea typeface="Calibri"/>
              <a:cs typeface="Calibri"/>
            </a:rPr>
            <a:t>Deferred revenue — </a:t>
          </a:r>
          <a:r>
            <a:rPr sz="750">
              <a:solidFill>
                <a:srgbClr val="5F6167"/>
              </a:solidFill>
              <a:latin typeface="Calibri"/>
              <a:ea typeface="Calibri"/>
              <a:cs typeface="Calibri"/>
            </a:rPr>
            <a:t>held at 3.5% of revenue for the current and non-current portions alike, in line with FY2023–FY2025 actuals.</a:t>
          </a:r>
          <a:endParaRPr/>
        </a:p>
        <a:p>
          <a:pPr>
            <a:lnSpc>
              <a:spcPct val="104000"/>
            </a:lnSpc>
            <a:buNone/>
          </a:pPr>
          <a:r>
            <a:rPr sz="750" b="1">
              <a:solidFill>
                <a:srgbClr val="171A20"/>
              </a:solidFill>
              <a:latin typeface="Calibri"/>
              <a:ea typeface="Calibri"/>
              <a:cs typeface="Calibri"/>
            </a:rPr>
            <a:t>Why ratios, not plugs — </a:t>
          </a:r>
          <a:r>
            <a:rPr sz="750">
              <a:solidFill>
                <a:srgbClr val="5F6167"/>
              </a:solidFill>
              <a:latin typeface="Calibri"/>
              <a:ea typeface="Calibri"/>
              <a:cs typeface="Calibri"/>
            </a:rPr>
            <a:t>each item is driven off revenue or COGS, so the balance sheet and cash flow statement respond consistently whenever the revenue build changes.</a:t>
          </a:r>
          <a:endParaRPr/>
        </a:p>
      </xdr:txBody>
    </xdr:sp>
    <xdr:clientData/>
  </xdr:twoCellAnchor>
  <xdr:twoCellAnchor editAs="oneCell">
    <xdr:from>
      <xdr:col>17</xdr:col>
      <xdr:colOff>0</xdr:colOff>
      <xdr:row>39</xdr:row>
      <xdr:rowOff>19050</xdr:rowOff>
    </xdr:from>
    <xdr:to>
      <xdr:col>25</xdr:col>
      <xdr:colOff>0</xdr:colOff>
      <xdr:row>43</xdr:row>
      <xdr:rowOff>0</xdr:rowOff>
    </xdr:to>
    <xdr:sp macro="" textlink="">
      <xdr:nvSpPr>
        <xdr:cNvPr id="7" name="Rationale CAPEX &amp; DEPRECIATION">
          <a:extLst>
            <a:ext uri="{FF2B5EF4-FFF2-40B4-BE49-F238E27FC236}">
              <a16:creationId xmlns:a16="http://schemas.microsoft.com/office/drawing/2014/main" id="{00000000-0008-0000-0200-000007000000}"/>
            </a:ext>
          </a:extLst>
        </xdr:cNvPr>
        <xdr:cNvSpPr>
          <a:spLocks noGrp="1"/>
        </xdr:cNvSpPr>
      </xdr:nvSpPr>
      <xdr:spPr>
        <a:xfrm>
          <a:off x="0" y="0"/>
          <a:ext cx="7010400" cy="716280"/>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CAPEX &amp; DEPRECIATION</a:t>
          </a:r>
          <a:endParaRPr/>
        </a:p>
        <a:p>
          <a:pPr>
            <a:lnSpc>
              <a:spcPct val="104000"/>
            </a:lnSpc>
            <a:buNone/>
          </a:pPr>
          <a:r>
            <a:rPr sz="750" b="1">
              <a:solidFill>
                <a:srgbClr val="171A20"/>
              </a:solidFill>
              <a:latin typeface="Calibri"/>
              <a:ea typeface="Calibri"/>
              <a:cs typeface="Calibri"/>
            </a:rPr>
            <a:t>CapEx — </a:t>
          </a:r>
          <a:r>
            <a:rPr sz="750">
              <a:solidFill>
                <a:srgbClr val="5F6167"/>
              </a:solidFill>
              <a:latin typeface="Calibri"/>
              <a:ea typeface="Calibri"/>
              <a:cs typeface="Calibri"/>
            </a:rPr>
            <a:t>10.0% of revenue falling to 8.0% — absolute capital expenditure still rises to $12,913M by FY2030E while the intensity of the current expansion phase moderates.</a:t>
          </a:r>
          <a:endParaRPr/>
        </a:p>
        <a:p>
          <a:pPr>
            <a:lnSpc>
              <a:spcPct val="104000"/>
            </a:lnSpc>
            <a:buNone/>
          </a:pPr>
          <a:r>
            <a:rPr sz="750" b="1">
              <a:solidFill>
                <a:srgbClr val="171A20"/>
              </a:solidFill>
              <a:latin typeface="Calibri"/>
              <a:ea typeface="Calibri"/>
              <a:cs typeface="Calibri"/>
            </a:rPr>
            <a:t>Depreciation — </a:t>
          </a:r>
          <a:r>
            <a:rPr sz="750">
              <a:solidFill>
                <a:srgbClr val="5F6167"/>
              </a:solidFill>
              <a:latin typeface="Calibri"/>
              <a:ea typeface="Calibri"/>
              <a:cs typeface="Calibri"/>
            </a:rPr>
            <a:t>16.5% of opening net PP&amp;E falling to 15.0%, applied through the asset schedule so PP&amp;E rolls forward on capex less depreciation.</a:t>
          </a:r>
          <a:endParaRPr/>
        </a:p>
      </xdr:txBody>
    </xdr:sp>
    <xdr:clientData/>
  </xdr:twoCellAnchor>
  <xdr:twoCellAnchor editAs="oneCell">
    <xdr:from>
      <xdr:col>17</xdr:col>
      <xdr:colOff>0</xdr:colOff>
      <xdr:row>43</xdr:row>
      <xdr:rowOff>19050</xdr:rowOff>
    </xdr:from>
    <xdr:to>
      <xdr:col>25</xdr:col>
      <xdr:colOff>0</xdr:colOff>
      <xdr:row>54</xdr:row>
      <xdr:rowOff>0</xdr:rowOff>
    </xdr:to>
    <xdr:sp macro="" textlink="">
      <xdr:nvSpPr>
        <xdr:cNvPr id="8" name="Rationale FINANCING, TAX &amp; EQUITY">
          <a:extLst>
            <a:ext uri="{FF2B5EF4-FFF2-40B4-BE49-F238E27FC236}">
              <a16:creationId xmlns:a16="http://schemas.microsoft.com/office/drawing/2014/main" id="{00000000-0008-0000-0200-000008000000}"/>
            </a:ext>
          </a:extLst>
        </xdr:cNvPr>
        <xdr:cNvSpPr>
          <a:spLocks noGrp="1"/>
        </xdr:cNvSpPr>
      </xdr:nvSpPr>
      <xdr:spPr>
        <a:xfrm>
          <a:off x="0" y="0"/>
          <a:ext cx="7010400" cy="1739900"/>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FINANCING, TAX &amp; EQUITY</a:t>
          </a:r>
          <a:endParaRPr/>
        </a:p>
        <a:p>
          <a:pPr>
            <a:lnSpc>
              <a:spcPct val="104000"/>
            </a:lnSpc>
            <a:buNone/>
          </a:pPr>
          <a:r>
            <a:rPr sz="750" b="1">
              <a:solidFill>
                <a:srgbClr val="171A20"/>
              </a:solidFill>
              <a:latin typeface="Calibri"/>
              <a:ea typeface="Calibri"/>
              <a:cs typeface="Calibri"/>
            </a:rPr>
            <a:t>Debt — </a:t>
          </a:r>
          <a:r>
            <a:rPr sz="750">
              <a:solidFill>
                <a:srgbClr val="5F6167"/>
              </a:solidFill>
              <a:latin typeface="Calibri"/>
              <a:ea typeface="Calibri"/>
              <a:cs typeface="Calibri"/>
            </a:rPr>
            <a:t>held flat at the FY2025A closing balance with no net new borrowing; interest expense at 5.0% on the average balance.</a:t>
          </a:r>
          <a:endParaRPr/>
        </a:p>
        <a:p>
          <a:pPr>
            <a:lnSpc>
              <a:spcPct val="104000"/>
            </a:lnSpc>
            <a:buNone/>
          </a:pPr>
          <a:r>
            <a:rPr sz="750" b="1">
              <a:solidFill>
                <a:srgbClr val="171A20"/>
              </a:solidFill>
              <a:latin typeface="Calibri"/>
              <a:ea typeface="Calibri"/>
              <a:cs typeface="Calibri"/>
            </a:rPr>
            <a:t>Return on cash — </a:t>
          </a:r>
          <a:r>
            <a:rPr sz="750">
              <a:solidFill>
                <a:srgbClr val="5F6167"/>
              </a:solidFill>
              <a:latin typeface="Calibri"/>
              <a:ea typeface="Calibri"/>
              <a:cs typeface="Calibri"/>
            </a:rPr>
            <a:t>4.5% falling to 4.0%, applied to the prior-year cash balance so the model stays free of circular references.</a:t>
          </a:r>
          <a:endParaRPr/>
        </a:p>
        <a:p>
          <a:pPr>
            <a:lnSpc>
              <a:spcPct val="104000"/>
            </a:lnSpc>
            <a:buNone/>
          </a:pPr>
          <a:r>
            <a:rPr sz="750" b="1">
              <a:solidFill>
                <a:srgbClr val="171A20"/>
              </a:solidFill>
              <a:latin typeface="Calibri"/>
              <a:ea typeface="Calibri"/>
              <a:cs typeface="Calibri"/>
            </a:rPr>
            <a:t>Tax — </a:t>
          </a:r>
          <a:r>
            <a:rPr sz="750">
              <a:solidFill>
                <a:srgbClr val="5F6167"/>
              </a:solidFill>
              <a:latin typeface="Calibri"/>
              <a:ea typeface="Calibri"/>
              <a:cs typeface="Calibri"/>
            </a:rPr>
            <a:t>normalised at 24.0%, replacing the distorted FY2023 actual (a one-off valuation-allowance release).</a:t>
          </a:r>
          <a:endParaRPr/>
        </a:p>
        <a:p>
          <a:pPr>
            <a:lnSpc>
              <a:spcPct val="104000"/>
            </a:lnSpc>
            <a:buNone/>
          </a:pPr>
          <a:r>
            <a:rPr sz="750" b="1">
              <a:solidFill>
                <a:srgbClr val="171A20"/>
              </a:solidFill>
              <a:latin typeface="Calibri"/>
              <a:ea typeface="Calibri"/>
              <a:cs typeface="Calibri"/>
            </a:rPr>
            <a:t>Equity — </a:t>
          </a:r>
          <a:r>
            <a:rPr sz="750">
              <a:solidFill>
                <a:srgbClr val="5F6167"/>
              </a:solidFill>
              <a:latin typeface="Calibri"/>
              <a:ea typeface="Calibri"/>
              <a:cs typeface="Calibri"/>
            </a:rPr>
            <a:t>stock-based compensation and net issuance at 4.0% of revenue falling to 3.5%; no dividends are assumed.</a:t>
          </a:r>
          <a:endParaRPr/>
        </a:p>
      </xdr:txBody>
    </xdr:sp>
    <xdr:clientData/>
  </xdr:twoCellAnchor>
  <xdr:twoCellAnchor editAs="oneCell">
    <xdr:from>
      <xdr:col>17</xdr:col>
      <xdr:colOff>0</xdr:colOff>
      <xdr:row>54</xdr:row>
      <xdr:rowOff>19050</xdr:rowOff>
    </xdr:from>
    <xdr:to>
      <xdr:col>25</xdr:col>
      <xdr:colOff>0</xdr:colOff>
      <xdr:row>62</xdr:row>
      <xdr:rowOff>0</xdr:rowOff>
    </xdr:to>
    <xdr:sp macro="" textlink="">
      <xdr:nvSpPr>
        <xdr:cNvPr id="9" name="Rationale VALUATION INPUTS">
          <a:extLst>
            <a:ext uri="{FF2B5EF4-FFF2-40B4-BE49-F238E27FC236}">
              <a16:creationId xmlns:a16="http://schemas.microsoft.com/office/drawing/2014/main" id="{00000000-0008-0000-0200-000009000000}"/>
            </a:ext>
          </a:extLst>
        </xdr:cNvPr>
        <xdr:cNvSpPr>
          <a:spLocks noGrp="1"/>
        </xdr:cNvSpPr>
      </xdr:nvSpPr>
      <xdr:spPr>
        <a:xfrm>
          <a:off x="0" y="0"/>
          <a:ext cx="7010400" cy="1478280"/>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VALUATION INPUTS</a:t>
          </a:r>
          <a:endParaRPr/>
        </a:p>
        <a:p>
          <a:pPr>
            <a:lnSpc>
              <a:spcPct val="104000"/>
            </a:lnSpc>
            <a:buNone/>
          </a:pPr>
          <a:r>
            <a:rPr sz="750" b="1">
              <a:solidFill>
                <a:srgbClr val="171A20"/>
              </a:solidFill>
              <a:latin typeface="Calibri"/>
              <a:ea typeface="Calibri"/>
              <a:cs typeface="Calibri"/>
            </a:rPr>
            <a:t>WACC — </a:t>
          </a:r>
          <a:r>
            <a:rPr sz="750">
              <a:solidFill>
                <a:srgbClr val="5F6167"/>
              </a:solidFill>
              <a:latin typeface="Calibri"/>
              <a:ea typeface="Calibri"/>
              <a:cs typeface="Calibri"/>
            </a:rPr>
            <a:t>built from CAPM — risk-free 4.77%, levered beta 1.8</a:t>
          </a:r>
          <a:r>
            <a:rPr lang="en-US" sz="750">
              <a:solidFill>
                <a:srgbClr val="5F6167"/>
              </a:solidFill>
              <a:latin typeface="Calibri"/>
              <a:ea typeface="Calibri"/>
              <a:cs typeface="Calibri"/>
            </a:rPr>
            <a:t>5</a:t>
          </a:r>
          <a:r>
            <a:rPr sz="750">
              <a:solidFill>
                <a:srgbClr val="5F6167"/>
              </a:solidFill>
              <a:latin typeface="Calibri"/>
              <a:ea typeface="Calibri"/>
              <a:cs typeface="Calibri"/>
            </a:rPr>
            <a:t>, equity risk premium </a:t>
          </a:r>
          <a:r>
            <a:rPr lang="en-US" sz="750">
              <a:solidFill>
                <a:srgbClr val="5F6167"/>
              </a:solidFill>
              <a:latin typeface="Calibri"/>
              <a:ea typeface="Calibri"/>
              <a:cs typeface="Calibri"/>
            </a:rPr>
            <a:t>4.14</a:t>
          </a:r>
          <a:r>
            <a:rPr sz="750">
              <a:solidFill>
                <a:srgbClr val="5F6167"/>
              </a:solidFill>
              <a:latin typeface="Calibri"/>
              <a:ea typeface="Calibri"/>
              <a:cs typeface="Calibri"/>
            </a:rPr>
            <a:t>, pre-tax cost of debt 5.0% at the normalised 24% tax rate, weighted at market values.</a:t>
          </a:r>
          <a:endParaRPr/>
        </a:p>
        <a:p>
          <a:pPr>
            <a:lnSpc>
              <a:spcPct val="104000"/>
            </a:lnSpc>
            <a:buNone/>
          </a:pPr>
          <a:r>
            <a:rPr sz="750" b="1">
              <a:solidFill>
                <a:srgbClr val="171A20"/>
              </a:solidFill>
              <a:latin typeface="Calibri"/>
              <a:ea typeface="Calibri"/>
              <a:cs typeface="Calibri"/>
            </a:rPr>
            <a:t>Terminal growth — </a:t>
          </a:r>
          <a:r>
            <a:rPr sz="750">
              <a:solidFill>
                <a:srgbClr val="5F6167"/>
              </a:solidFill>
              <a:latin typeface="Calibri"/>
              <a:ea typeface="Calibri"/>
              <a:cs typeface="Calibri"/>
            </a:rPr>
            <a:t>3.</a:t>
          </a:r>
          <a:r>
            <a:rPr lang="en-US" sz="750">
              <a:solidFill>
                <a:srgbClr val="5F6167"/>
              </a:solidFill>
              <a:latin typeface="Calibri"/>
              <a:ea typeface="Calibri"/>
              <a:cs typeface="Calibri"/>
            </a:rPr>
            <a:t>8%</a:t>
          </a:r>
          <a:r>
            <a:rPr sz="750">
              <a:solidFill>
                <a:srgbClr val="5F6167"/>
              </a:solidFill>
              <a:latin typeface="Calibri"/>
              <a:ea typeface="Calibri"/>
              <a:cs typeface="Calibri"/>
            </a:rPr>
            <a:t>, at long-run nominal economic growth. No premium is embedded for autonomy, AI or robotics optionality, which the model does not value as separate cash-flow streams.</a:t>
          </a:r>
          <a:endParaRPr/>
        </a:p>
      </xdr:txBody>
    </xdr:sp>
    <xdr:clientData/>
  </xdr:twoCellAnchor>
  <xdr:twoCellAnchor editAs="oneCell">
    <xdr:from>
      <xdr:col>17</xdr:col>
      <xdr:colOff>0</xdr:colOff>
      <xdr:row>67</xdr:row>
      <xdr:rowOff>19050</xdr:rowOff>
    </xdr:from>
    <xdr:to>
      <xdr:col>25</xdr:col>
      <xdr:colOff>0</xdr:colOff>
      <xdr:row>79</xdr:row>
      <xdr:rowOff>0</xdr:rowOff>
    </xdr:to>
    <xdr:sp macro="" textlink="">
      <xdr:nvSpPr>
        <xdr:cNvPr id="10" name="Rationale BEAR CASE — RATIONALE">
          <a:extLst>
            <a:ext uri="{FF2B5EF4-FFF2-40B4-BE49-F238E27FC236}">
              <a16:creationId xmlns:a16="http://schemas.microsoft.com/office/drawing/2014/main" id="{00000000-0008-0000-0200-00000A000000}"/>
            </a:ext>
          </a:extLst>
        </xdr:cNvPr>
        <xdr:cNvSpPr>
          <a:spLocks noGrp="1"/>
        </xdr:cNvSpPr>
      </xdr:nvSpPr>
      <xdr:spPr>
        <a:xfrm>
          <a:off x="0" y="0"/>
          <a:ext cx="7010400" cy="2164079"/>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BEAR CASE — RATIONALE</a:t>
          </a:r>
          <a:endParaRPr/>
        </a:p>
        <a:p>
          <a:pPr>
            <a:lnSpc>
              <a:spcPct val="104000"/>
            </a:lnSpc>
            <a:buNone/>
          </a:pPr>
          <a:r>
            <a:rPr sz="750" b="1">
              <a:solidFill>
                <a:srgbClr val="171A20"/>
              </a:solidFill>
              <a:latin typeface="Calibri"/>
              <a:ea typeface="Calibri"/>
              <a:cs typeface="Calibri"/>
            </a:rPr>
            <a:t>Operating environment — </a:t>
          </a:r>
          <a:r>
            <a:rPr sz="750">
              <a:solidFill>
                <a:srgbClr val="5F6167"/>
              </a:solidFill>
              <a:latin typeface="Calibri"/>
              <a:ea typeface="Calibri"/>
              <a:cs typeface="Calibri"/>
            </a:rPr>
            <a:t>deliveries essentially flat in FY2026E and recovering only to mid-single digits, ASP falling a further 6% then 4% as price competition persists, and regulatory credits decaying faster as other OEMs comply from their own fleets.</a:t>
          </a:r>
          <a:endParaRPr/>
        </a:p>
        <a:p>
          <a:pPr>
            <a:lnSpc>
              <a:spcPct val="104000"/>
            </a:lnSpc>
            <a:buNone/>
          </a:pPr>
          <a:r>
            <a:rPr sz="750" b="1">
              <a:solidFill>
                <a:srgbClr val="171A20"/>
              </a:solidFill>
              <a:latin typeface="Calibri"/>
              <a:ea typeface="Calibri"/>
              <a:cs typeface="Calibri"/>
            </a:rPr>
            <a:t>Margins — </a:t>
          </a:r>
          <a:r>
            <a:rPr sz="750">
              <a:solidFill>
                <a:srgbClr val="5F6167"/>
              </a:solidFill>
              <a:latin typeface="Calibri"/>
              <a:ea typeface="Calibri"/>
              <a:cs typeface="Calibri"/>
            </a:rPr>
            <a:t>automotive gross margin dips below the FY2025A level before a slow climb to 18.5% — a credible downside, not a collapse. Energy and Services margins recover more slowly and Energy growth halves relative to Base.</a:t>
          </a:r>
          <a:endParaRPr/>
        </a:p>
        <a:p>
          <a:pPr>
            <a:lnSpc>
              <a:spcPct val="104000"/>
            </a:lnSpc>
            <a:buNone/>
          </a:pPr>
          <a:r>
            <a:rPr sz="750" b="1">
              <a:solidFill>
                <a:srgbClr val="171A20"/>
              </a:solidFill>
              <a:latin typeface="Calibri"/>
              <a:ea typeface="Calibri"/>
              <a:cs typeface="Calibri"/>
            </a:rPr>
            <a:t>Cost and investment — </a:t>
          </a:r>
          <a:r>
            <a:rPr sz="750">
              <a:solidFill>
                <a:srgbClr val="5F6167"/>
              </a:solidFill>
              <a:latin typeface="Calibri"/>
              <a:ea typeface="Calibri"/>
              <a:cs typeface="Calibri"/>
            </a:rPr>
            <a:t>R&amp;D and SG&amp;A do not flex down with weaker revenue, so operating leverage works against the company, and capex intensity stays higher for longer. This is the combination that compresses FCFF hardest.</a:t>
          </a:r>
          <a:endParaRPr/>
        </a:p>
      </xdr:txBody>
    </xdr:sp>
    <xdr:clientData/>
  </xdr:twoCellAnchor>
  <xdr:twoCellAnchor editAs="oneCell">
    <xdr:from>
      <xdr:col>17</xdr:col>
      <xdr:colOff>0</xdr:colOff>
      <xdr:row>79</xdr:row>
      <xdr:rowOff>19050</xdr:rowOff>
    </xdr:from>
    <xdr:to>
      <xdr:col>25</xdr:col>
      <xdr:colOff>0</xdr:colOff>
      <xdr:row>90</xdr:row>
      <xdr:rowOff>0</xdr:rowOff>
    </xdr:to>
    <xdr:sp macro="" textlink="">
      <xdr:nvSpPr>
        <xdr:cNvPr id="11" name="Rationale BASE CASE — RATIONALE">
          <a:extLst>
            <a:ext uri="{FF2B5EF4-FFF2-40B4-BE49-F238E27FC236}">
              <a16:creationId xmlns:a16="http://schemas.microsoft.com/office/drawing/2014/main" id="{00000000-0008-0000-0200-00000B000000}"/>
            </a:ext>
          </a:extLst>
        </xdr:cNvPr>
        <xdr:cNvSpPr>
          <a:spLocks noGrp="1"/>
        </xdr:cNvSpPr>
      </xdr:nvSpPr>
      <xdr:spPr>
        <a:xfrm>
          <a:off x="0" y="0"/>
          <a:ext cx="7010400" cy="1983739"/>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BASE CASE — RATIONALE</a:t>
          </a:r>
          <a:endParaRPr/>
        </a:p>
        <a:p>
          <a:pPr>
            <a:lnSpc>
              <a:spcPct val="104000"/>
            </a:lnSpc>
            <a:buNone/>
          </a:pPr>
          <a:r>
            <a:rPr sz="750" b="1">
              <a:solidFill>
                <a:srgbClr val="171A20"/>
              </a:solidFill>
              <a:latin typeface="Calibri"/>
              <a:ea typeface="Calibri"/>
              <a:cs typeface="Calibri"/>
            </a:rPr>
            <a:t>Unchanged from Phase 1 — </a:t>
          </a:r>
          <a:r>
            <a:rPr sz="750">
              <a:solidFill>
                <a:srgbClr val="5F6167"/>
              </a:solidFill>
              <a:latin typeface="Calibri"/>
              <a:ea typeface="Calibri"/>
              <a:cs typeface="Calibri"/>
            </a:rPr>
            <a:t>every Base value is the original forecast, preserved exactly so the Phase 1 valuation remains reproducible. The rationale for each driver is in the blocks above.</a:t>
          </a:r>
          <a:endParaRPr/>
        </a:p>
        <a:p>
          <a:pPr>
            <a:lnSpc>
              <a:spcPct val="104000"/>
            </a:lnSpc>
            <a:buNone/>
          </a:pPr>
          <a:r>
            <a:rPr sz="750" b="1">
              <a:solidFill>
                <a:srgbClr val="171A20"/>
              </a:solidFill>
              <a:latin typeface="Calibri"/>
              <a:ea typeface="Calibri"/>
              <a:cs typeface="Calibri"/>
            </a:rPr>
            <a:t>Why it is the anchor — </a:t>
          </a:r>
          <a:r>
            <a:rPr sz="750">
              <a:solidFill>
                <a:srgbClr val="5F6167"/>
              </a:solidFill>
              <a:latin typeface="Calibri"/>
              <a:ea typeface="Calibri"/>
              <a:cs typeface="Calibri"/>
            </a:rPr>
            <a:t>it assumes a gradual volume recovery, continued near-term pricing pressure, Energy as the fastest-growing segment and a partial — not full — margin recovery that stays below the FY2022 peak.</a:t>
          </a:r>
          <a:endParaRPr/>
        </a:p>
      </xdr:txBody>
    </xdr:sp>
    <xdr:clientData/>
  </xdr:twoCellAnchor>
  <xdr:twoCellAnchor editAs="oneCell">
    <xdr:from>
      <xdr:col>17</xdr:col>
      <xdr:colOff>0</xdr:colOff>
      <xdr:row>90</xdr:row>
      <xdr:rowOff>19050</xdr:rowOff>
    </xdr:from>
    <xdr:to>
      <xdr:col>25</xdr:col>
      <xdr:colOff>0</xdr:colOff>
      <xdr:row>101</xdr:row>
      <xdr:rowOff>0</xdr:rowOff>
    </xdr:to>
    <xdr:sp macro="" textlink="">
      <xdr:nvSpPr>
        <xdr:cNvPr id="12" name="Rationale BULL CASE — RATIONALE">
          <a:extLst>
            <a:ext uri="{FF2B5EF4-FFF2-40B4-BE49-F238E27FC236}">
              <a16:creationId xmlns:a16="http://schemas.microsoft.com/office/drawing/2014/main" id="{00000000-0008-0000-0200-00000C000000}"/>
            </a:ext>
          </a:extLst>
        </xdr:cNvPr>
        <xdr:cNvSpPr>
          <a:spLocks noGrp="1"/>
        </xdr:cNvSpPr>
      </xdr:nvSpPr>
      <xdr:spPr>
        <a:xfrm>
          <a:off x="0" y="0"/>
          <a:ext cx="7010400" cy="1983739"/>
        </a:xfrm>
        <a:prstGeom prst="rect">
          <a:avLst/>
        </a:prstGeom>
        <a:solidFill>
          <a:srgbClr val="FAFAFB"/>
        </a:solidFill>
        <a:ln w="9525">
          <a:solidFill>
            <a:srgbClr val="E2E3E6"/>
          </a:solidFill>
        </a:ln>
      </xdr:spPr>
      <xdr:txBody>
        <a:bodyPr wrap="square" lIns="73152" tIns="36576" rIns="73152" bIns="36576" anchor="t">
          <a:normAutofit/>
        </a:bodyPr>
        <a:lstStyle/>
        <a:p>
          <a:pPr>
            <a:lnSpc>
              <a:spcPct val="100000"/>
            </a:lnSpc>
            <a:buNone/>
          </a:pPr>
          <a:r>
            <a:rPr sz="750" b="1">
              <a:solidFill>
                <a:srgbClr val="E31937"/>
              </a:solidFill>
              <a:latin typeface="Calibri"/>
              <a:ea typeface="Calibri"/>
              <a:cs typeface="Calibri"/>
            </a:rPr>
            <a:t>BULL CASE — RATIONALE</a:t>
          </a:r>
          <a:endParaRPr/>
        </a:p>
        <a:p>
          <a:pPr>
            <a:lnSpc>
              <a:spcPct val="104000"/>
            </a:lnSpc>
            <a:buNone/>
          </a:pPr>
          <a:r>
            <a:rPr sz="750" b="1">
              <a:solidFill>
                <a:srgbClr val="171A20"/>
              </a:solidFill>
              <a:latin typeface="Calibri"/>
              <a:ea typeface="Calibri"/>
              <a:cs typeface="Calibri"/>
            </a:rPr>
            <a:t>Operating environment — </a:t>
          </a:r>
          <a:r>
            <a:rPr sz="750">
              <a:solidFill>
                <a:srgbClr val="5F6167"/>
              </a:solidFill>
              <a:latin typeface="Calibri"/>
              <a:ea typeface="Calibri"/>
              <a:cs typeface="Calibri"/>
            </a:rPr>
            <a:t>deliveries compound in the low-to-mid teens, pricing stabilises and turns positive on mix, and regulatory credits flatten rather than decay. Energy compounds at 38% falling to 20%.</a:t>
          </a:r>
          <a:endParaRPr/>
        </a:p>
        <a:p>
          <a:pPr>
            <a:lnSpc>
              <a:spcPct val="104000"/>
            </a:lnSpc>
            <a:buNone/>
          </a:pPr>
          <a:r>
            <a:rPr sz="750" b="1">
              <a:solidFill>
                <a:srgbClr val="171A20"/>
              </a:solidFill>
              <a:latin typeface="Calibri"/>
              <a:ea typeface="Calibri"/>
              <a:cs typeface="Calibri"/>
            </a:rPr>
            <a:t>Margins — </a:t>
          </a:r>
          <a:r>
            <a:rPr sz="750">
              <a:solidFill>
                <a:srgbClr val="5F6167"/>
              </a:solidFill>
              <a:latin typeface="Calibri"/>
              <a:ea typeface="Calibri"/>
              <a:cs typeface="Calibri"/>
            </a:rPr>
            <a:t>automotive gross margin reaches 26% by FY2030E — below the 28.5% FY2022A peak — and the FY2030E EBIT margin of roughly 17% sits just above the FY2022A peak of 16.8%, but is reached on around 2.5x the revenue base through mix and operating leverage rather than pricing.</a:t>
          </a:r>
          <a:endParaRPr/>
        </a:p>
        <a:p>
          <a:pPr>
            <a:lnSpc>
              <a:spcPct val="104000"/>
            </a:lnSpc>
            <a:buNone/>
          </a:pPr>
          <a:r>
            <a:rPr sz="750" b="1">
              <a:solidFill>
                <a:srgbClr val="171A20"/>
              </a:solidFill>
              <a:latin typeface="Calibri"/>
              <a:ea typeface="Calibri"/>
              <a:cs typeface="Calibri"/>
            </a:rPr>
            <a:t>Deliberate ceiling — </a:t>
          </a:r>
          <a:r>
            <a:rPr sz="750">
              <a:solidFill>
                <a:srgbClr val="5F6167"/>
              </a:solidFill>
              <a:latin typeface="Calibri"/>
              <a:ea typeface="Calibri"/>
              <a:cs typeface="Calibri"/>
            </a:rPr>
            <a:t>no driver is set beyond a level Tesla has previously demonstrated at smaller scale. The Bull case is not tuned to reach the market price, and it does not: see the Reverse DCF sheet.</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1A20"/>
  </sheetPr>
  <dimension ref="B1:H30"/>
  <sheetViews>
    <sheetView showGridLines="0" workbookViewId="0">
      <selection activeCell="F28" sqref="F28"/>
    </sheetView>
  </sheetViews>
  <sheetFormatPr defaultRowHeight="14.4" x14ac:dyDescent="0.3"/>
  <cols>
    <col min="1" max="1" width="2.5546875" customWidth="1"/>
    <col min="2" max="2" width="3" customWidth="1"/>
    <col min="3" max="7" width="21" customWidth="1"/>
    <col min="8" max="8" width="3" customWidth="1"/>
    <col min="9" max="9" width="2.5546875" customWidth="1"/>
  </cols>
  <sheetData>
    <row r="1" spans="2:8" ht="10.050000000000001" customHeight="1" x14ac:dyDescent="0.3"/>
    <row r="2" spans="2:8" ht="10.050000000000001" customHeight="1" x14ac:dyDescent="0.3"/>
    <row r="3" spans="2:8" ht="10.050000000000001" customHeight="1" x14ac:dyDescent="0.3">
      <c r="B3" s="19"/>
      <c r="C3" s="19"/>
      <c r="D3" s="19"/>
      <c r="E3" s="19"/>
      <c r="F3" s="19"/>
      <c r="G3" s="19"/>
      <c r="H3" s="19"/>
    </row>
    <row r="4" spans="2:8" ht="16.05" customHeight="1" x14ac:dyDescent="0.3">
      <c r="B4" s="309" t="s">
        <v>0</v>
      </c>
      <c r="C4" s="297"/>
      <c r="D4" s="297"/>
      <c r="E4" s="297"/>
      <c r="F4" s="20"/>
      <c r="G4" s="20"/>
      <c r="H4" s="20"/>
    </row>
    <row r="5" spans="2:8" ht="7.95" customHeight="1" x14ac:dyDescent="0.3">
      <c r="B5" s="20"/>
      <c r="C5" s="20"/>
      <c r="D5" s="20"/>
      <c r="E5" s="20"/>
      <c r="F5" s="20"/>
      <c r="G5" s="20"/>
      <c r="H5" s="20"/>
    </row>
    <row r="6" spans="2:8" ht="46.05" customHeight="1" x14ac:dyDescent="0.3">
      <c r="B6" s="316" t="s">
        <v>1</v>
      </c>
      <c r="C6" s="297"/>
      <c r="D6" s="297"/>
      <c r="E6" s="297"/>
      <c r="F6" s="297"/>
      <c r="G6" s="297"/>
      <c r="H6" s="20"/>
    </row>
    <row r="7" spans="2:8" ht="25.95" customHeight="1" x14ac:dyDescent="0.3">
      <c r="B7" s="317" t="s">
        <v>2</v>
      </c>
      <c r="C7" s="297"/>
      <c r="D7" s="297"/>
      <c r="E7" s="297"/>
      <c r="F7" s="297"/>
      <c r="G7" s="297"/>
      <c r="H7" s="20"/>
    </row>
    <row r="8" spans="2:8" ht="7.05" customHeight="1" x14ac:dyDescent="0.3">
      <c r="B8" s="21"/>
      <c r="C8" s="21"/>
      <c r="D8" s="21"/>
      <c r="E8" s="20"/>
      <c r="F8" s="20"/>
      <c r="G8" s="20"/>
      <c r="H8" s="20"/>
    </row>
    <row r="9" spans="2:8" ht="9" customHeight="1" x14ac:dyDescent="0.3">
      <c r="B9" s="20"/>
      <c r="C9" s="20"/>
      <c r="D9" s="20"/>
      <c r="E9" s="20"/>
      <c r="F9" s="20"/>
      <c r="G9" s="20"/>
      <c r="H9" s="20"/>
    </row>
    <row r="10" spans="2:8" ht="16.95" customHeight="1" x14ac:dyDescent="0.3">
      <c r="B10" s="318" t="s">
        <v>3</v>
      </c>
      <c r="C10" s="297"/>
      <c r="D10" s="297"/>
      <c r="E10" s="297"/>
      <c r="F10" s="297"/>
      <c r="G10" s="297"/>
      <c r="H10" s="20"/>
    </row>
    <row r="11" spans="2:8" ht="16.95" customHeight="1" x14ac:dyDescent="0.3">
      <c r="B11" s="318" t="s">
        <v>4</v>
      </c>
      <c r="C11" s="297"/>
      <c r="D11" s="297"/>
      <c r="E11" s="297"/>
      <c r="F11" s="297"/>
      <c r="G11" s="297"/>
      <c r="H11" s="20"/>
    </row>
    <row r="12" spans="2:8" ht="13.95" customHeight="1" x14ac:dyDescent="0.3">
      <c r="B12" s="20"/>
      <c r="C12" s="20"/>
      <c r="D12" s="20"/>
      <c r="E12" s="20"/>
      <c r="F12" s="20"/>
      <c r="G12" s="20"/>
      <c r="H12" s="20"/>
    </row>
    <row r="13" spans="2:8" ht="19.95" customHeight="1" x14ac:dyDescent="0.3">
      <c r="B13" s="313" t="s">
        <v>5</v>
      </c>
      <c r="C13" s="314"/>
      <c r="D13" s="314"/>
      <c r="E13" s="314"/>
      <c r="F13" s="314"/>
      <c r="G13" s="314"/>
    </row>
    <row r="14" spans="2:8" ht="16.05" customHeight="1" x14ac:dyDescent="0.3">
      <c r="B14" s="310" t="s">
        <v>6</v>
      </c>
      <c r="C14" s="297"/>
      <c r="D14" s="312" t="s">
        <v>7</v>
      </c>
      <c r="E14" s="297"/>
      <c r="F14" s="297"/>
      <c r="G14" s="297"/>
    </row>
    <row r="15" spans="2:8" ht="15" customHeight="1" x14ac:dyDescent="0.3">
      <c r="B15" s="310" t="s">
        <v>8</v>
      </c>
      <c r="C15" s="297"/>
      <c r="D15" s="312" t="s">
        <v>9</v>
      </c>
      <c r="E15" s="297"/>
      <c r="F15" s="297"/>
      <c r="G15" s="297"/>
    </row>
    <row r="16" spans="2:8" ht="15" customHeight="1" x14ac:dyDescent="0.3">
      <c r="B16" s="310" t="s">
        <v>10</v>
      </c>
      <c r="C16" s="297"/>
      <c r="D16" s="312" t="s">
        <v>11</v>
      </c>
      <c r="E16" s="297"/>
      <c r="F16" s="297"/>
      <c r="G16" s="297"/>
    </row>
    <row r="17" spans="2:7" ht="15" customHeight="1" x14ac:dyDescent="0.3">
      <c r="B17" s="310" t="s">
        <v>12</v>
      </c>
      <c r="C17" s="297"/>
      <c r="D17" s="312" t="s">
        <v>13</v>
      </c>
      <c r="E17" s="297"/>
      <c r="F17" s="297"/>
      <c r="G17" s="297"/>
    </row>
    <row r="18" spans="2:7" ht="15" customHeight="1" x14ac:dyDescent="0.3">
      <c r="B18" s="310" t="s">
        <v>14</v>
      </c>
      <c r="C18" s="297"/>
      <c r="D18" s="312" t="s">
        <v>15</v>
      </c>
      <c r="E18" s="297"/>
      <c r="F18" s="297"/>
      <c r="G18" s="297"/>
    </row>
    <row r="19" spans="2:7" ht="15" customHeight="1" x14ac:dyDescent="0.3">
      <c r="B19" s="310" t="s">
        <v>16</v>
      </c>
      <c r="C19" s="297"/>
      <c r="D19" s="311">
        <v>46272</v>
      </c>
      <c r="E19" s="297"/>
      <c r="F19" s="297"/>
      <c r="G19" s="297"/>
    </row>
    <row r="20" spans="2:7" ht="15" customHeight="1" x14ac:dyDescent="0.3"/>
    <row r="21" spans="2:7" ht="18" customHeight="1" x14ac:dyDescent="0.3">
      <c r="B21" s="313" t="s">
        <v>17</v>
      </c>
      <c r="C21" s="314"/>
      <c r="D21" s="314"/>
      <c r="E21" s="314"/>
      <c r="F21" s="314"/>
      <c r="G21" s="314"/>
    </row>
    <row r="22" spans="2:7" ht="16.05" customHeight="1" x14ac:dyDescent="0.3">
      <c r="B22" s="306" t="s">
        <v>18</v>
      </c>
      <c r="C22" s="307"/>
      <c r="D22" s="308" t="s">
        <v>19</v>
      </c>
      <c r="E22" s="297"/>
      <c r="F22" s="297"/>
      <c r="G22" s="297"/>
    </row>
    <row r="23" spans="2:7" ht="15" customHeight="1" x14ac:dyDescent="0.3">
      <c r="B23" s="306" t="s">
        <v>20</v>
      </c>
      <c r="C23" s="307"/>
      <c r="D23" s="308" t="s">
        <v>21</v>
      </c>
      <c r="E23" s="297"/>
      <c r="F23" s="297"/>
      <c r="G23" s="297"/>
    </row>
    <row r="24" spans="2:7" ht="15" customHeight="1" x14ac:dyDescent="0.3">
      <c r="B24" s="306" t="s">
        <v>22</v>
      </c>
      <c r="C24" s="307"/>
      <c r="D24" s="308" t="s">
        <v>23</v>
      </c>
      <c r="E24" s="297"/>
      <c r="F24" s="297"/>
      <c r="G24" s="297"/>
    </row>
    <row r="25" spans="2:7" ht="15" customHeight="1" x14ac:dyDescent="0.3">
      <c r="B25" s="306" t="s">
        <v>24</v>
      </c>
      <c r="C25" s="307"/>
      <c r="D25" s="308" t="s">
        <v>25</v>
      </c>
      <c r="E25" s="297"/>
      <c r="F25" s="297"/>
      <c r="G25" s="297"/>
    </row>
    <row r="26" spans="2:7" ht="15" customHeight="1" x14ac:dyDescent="0.3">
      <c r="B26" s="306" t="s">
        <v>26</v>
      </c>
      <c r="C26" s="307"/>
      <c r="D26" s="308" t="s">
        <v>27</v>
      </c>
      <c r="E26" s="297"/>
      <c r="F26" s="297"/>
      <c r="G26" s="297"/>
    </row>
    <row r="27" spans="2:7" ht="15" customHeight="1" x14ac:dyDescent="0.3">
      <c r="B27" s="306" t="s">
        <v>28</v>
      </c>
      <c r="C27" s="307"/>
      <c r="D27" s="308" t="s">
        <v>29</v>
      </c>
      <c r="E27" s="297"/>
      <c r="F27" s="297"/>
      <c r="G27" s="297"/>
    </row>
    <row r="28" spans="2:7" ht="15" customHeight="1" x14ac:dyDescent="0.3"/>
    <row r="29" spans="2:7" ht="18" customHeight="1" x14ac:dyDescent="0.3"/>
    <row r="30" spans="2:7" ht="46.05" customHeight="1" x14ac:dyDescent="0.3">
      <c r="B30" s="315" t="s">
        <v>30</v>
      </c>
      <c r="C30" s="297"/>
      <c r="D30" s="297"/>
      <c r="E30" s="297"/>
      <c r="F30" s="297"/>
      <c r="G30" s="297"/>
    </row>
  </sheetData>
  <mergeCells count="32">
    <mergeCell ref="B30:G30"/>
    <mergeCell ref="B6:G6"/>
    <mergeCell ref="D22:G22"/>
    <mergeCell ref="B19:C19"/>
    <mergeCell ref="D27:G27"/>
    <mergeCell ref="B7:G7"/>
    <mergeCell ref="B24:C24"/>
    <mergeCell ref="D17:G17"/>
    <mergeCell ref="B15:C15"/>
    <mergeCell ref="D16:G16"/>
    <mergeCell ref="B26:C26"/>
    <mergeCell ref="B21:G21"/>
    <mergeCell ref="B11:G11"/>
    <mergeCell ref="B10:G10"/>
    <mergeCell ref="D26:G26"/>
    <mergeCell ref="B27:C27"/>
    <mergeCell ref="B25:C25"/>
    <mergeCell ref="D25:G25"/>
    <mergeCell ref="D24:G24"/>
    <mergeCell ref="B22:C22"/>
    <mergeCell ref="B4:E4"/>
    <mergeCell ref="B23:C23"/>
    <mergeCell ref="B14:C14"/>
    <mergeCell ref="D19:G19"/>
    <mergeCell ref="B17:C17"/>
    <mergeCell ref="D15:G15"/>
    <mergeCell ref="B13:G13"/>
    <mergeCell ref="B18:C18"/>
    <mergeCell ref="D14:G14"/>
    <mergeCell ref="D23:G23"/>
    <mergeCell ref="D18:G18"/>
    <mergeCell ref="B16:C16"/>
  </mergeCells>
  <hyperlinks>
    <hyperlink ref="B22" location="'Model Summary'!A1" display="→   Model Summary" xr:uid="{00000000-0004-0000-0000-000000000000}"/>
    <hyperlink ref="B23" location="'Assumptions'!A1" display="→   Assumptions" xr:uid="{00000000-0004-0000-0000-000001000000}"/>
    <hyperlink ref="B24" location="'Scenario Analysis'!A1" display="→   Scenario Analysis" xr:uid="{00000000-0004-0000-0000-000002000000}"/>
    <hyperlink ref="B25" location="'Valuation'!A1" display="→   Valuation" xr:uid="{00000000-0004-0000-0000-000003000000}"/>
    <hyperlink ref="B26" location="'Reverse DCF'!A1" display="→   Reverse DCF" xr:uid="{00000000-0004-0000-0000-000004000000}"/>
    <hyperlink ref="B27" location="'Sources &amp; Notes'!A1" display="→   Sources &amp; Notes"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1A20"/>
  </sheetPr>
  <dimension ref="A1:U61"/>
  <sheetViews>
    <sheetView showGridLines="0" zoomScale="103" zoomScaleNormal="100" workbookViewId="0">
      <selection activeCell="W58" sqref="W58"/>
    </sheetView>
  </sheetViews>
  <sheetFormatPr defaultRowHeight="14.4" x14ac:dyDescent="0.3"/>
  <cols>
    <col min="1" max="1" width="1.77734375" customWidth="1"/>
    <col min="2" max="5" width="9" customWidth="1"/>
    <col min="6" max="6" width="1.21875" customWidth="1"/>
    <col min="7" max="10" width="9" customWidth="1"/>
    <col min="11" max="11" width="1.21875" customWidth="1"/>
    <col min="12" max="15" width="9" customWidth="1"/>
    <col min="16" max="16" width="1.21875" customWidth="1"/>
    <col min="17" max="20" width="9" customWidth="1"/>
    <col min="21" max="21" width="1.77734375" customWidth="1"/>
  </cols>
  <sheetData>
    <row r="1" spans="1:21" ht="30" customHeight="1" x14ac:dyDescent="0.3">
      <c r="A1" s="20"/>
      <c r="B1" s="337" t="s">
        <v>31</v>
      </c>
      <c r="C1" s="297"/>
      <c r="D1" s="297"/>
      <c r="E1" s="297"/>
      <c r="F1" s="297"/>
      <c r="G1" s="297"/>
      <c r="H1" s="297"/>
      <c r="I1" s="297"/>
      <c r="J1" s="297"/>
      <c r="K1" s="297"/>
      <c r="L1" s="297"/>
      <c r="M1" s="335" t="str">
        <f>"NASDAQ: TSLA     |     FY2021A–FY2030E     |     SELECTED CASE:  "&amp;UPPER(CHOOSE(Assumptions!$L$2,"Bear","Base","Bull"))</f>
        <v>NASDAQ: TSLA     |     FY2021A–FY2030E     |     SELECTED CASE:  BASE</v>
      </c>
      <c r="N1" s="297"/>
      <c r="O1" s="297"/>
      <c r="P1" s="297"/>
      <c r="Q1" s="297"/>
      <c r="R1" s="297"/>
      <c r="S1" s="297"/>
      <c r="T1" s="297"/>
      <c r="U1" s="20"/>
    </row>
    <row r="2" spans="1:21" ht="4.05" customHeight="1" x14ac:dyDescent="0.3">
      <c r="A2" s="21"/>
      <c r="B2" s="21"/>
      <c r="C2" s="21"/>
      <c r="D2" s="21"/>
      <c r="E2" s="21"/>
      <c r="F2" s="21"/>
      <c r="G2" s="21"/>
      <c r="H2" s="21"/>
      <c r="I2" s="21"/>
      <c r="J2" s="21"/>
      <c r="K2" s="21"/>
      <c r="L2" s="21"/>
      <c r="M2" s="21"/>
      <c r="N2" s="21"/>
      <c r="O2" s="21"/>
      <c r="P2" s="21"/>
      <c r="Q2" s="21"/>
      <c r="R2" s="21"/>
      <c r="S2" s="21"/>
      <c r="T2" s="21"/>
      <c r="U2" s="21"/>
    </row>
    <row r="3" spans="1:21" ht="16.05" customHeight="1" x14ac:dyDescent="0.3">
      <c r="B3" s="338" t="s">
        <v>32</v>
      </c>
      <c r="C3" s="297"/>
      <c r="D3" s="297"/>
      <c r="E3" s="297"/>
      <c r="F3" s="297"/>
      <c r="G3" s="297"/>
      <c r="H3" s="297"/>
      <c r="I3" s="297"/>
      <c r="J3" s="297"/>
      <c r="K3" s="297"/>
      <c r="L3" s="297"/>
      <c r="M3" s="297"/>
      <c r="N3" s="297"/>
      <c r="O3" s="297"/>
      <c r="P3" s="297"/>
      <c r="Q3" s="297"/>
      <c r="R3" s="297"/>
      <c r="S3" s="297"/>
      <c r="T3" s="297"/>
    </row>
    <row r="4" spans="1:21" ht="7.05" customHeight="1" x14ac:dyDescent="0.3"/>
    <row r="5" spans="1:21" ht="4.95" customHeight="1" x14ac:dyDescent="0.3">
      <c r="B5" s="21"/>
      <c r="C5" s="21"/>
      <c r="D5" s="21"/>
      <c r="E5" s="21"/>
      <c r="G5" s="21"/>
      <c r="H5" s="21"/>
      <c r="I5" s="21"/>
      <c r="J5" s="21"/>
      <c r="L5" s="21"/>
      <c r="M5" s="21"/>
      <c r="N5" s="21"/>
      <c r="O5" s="21"/>
      <c r="Q5" s="21"/>
      <c r="R5" s="21"/>
      <c r="S5" s="21"/>
      <c r="T5" s="21"/>
    </row>
    <row r="6" spans="1:21" ht="15" customHeight="1" x14ac:dyDescent="0.3">
      <c r="B6" s="339" t="s">
        <v>33</v>
      </c>
      <c r="C6" s="297"/>
      <c r="D6" s="297"/>
      <c r="E6" s="297"/>
      <c r="G6" s="339" t="s">
        <v>34</v>
      </c>
      <c r="H6" s="297"/>
      <c r="I6" s="297"/>
      <c r="J6" s="297"/>
      <c r="L6" s="339" t="s">
        <v>35</v>
      </c>
      <c r="M6" s="297"/>
      <c r="N6" s="297"/>
      <c r="O6" s="297"/>
      <c r="Q6" s="339" t="s">
        <v>36</v>
      </c>
      <c r="R6" s="297"/>
      <c r="S6" s="297"/>
      <c r="T6" s="297"/>
    </row>
    <row r="7" spans="1:21" ht="27" customHeight="1" x14ac:dyDescent="0.3">
      <c r="B7" s="340">
        <f>IS!P8</f>
        <v>161408.21433343834</v>
      </c>
      <c r="C7" s="297"/>
      <c r="D7" s="297"/>
      <c r="E7" s="297"/>
      <c r="G7" s="319">
        <f>IS!P26</f>
        <v>0.12740559868265619</v>
      </c>
      <c r="H7" s="297"/>
      <c r="I7" s="297"/>
      <c r="J7" s="297"/>
      <c r="L7" s="341">
        <f>Valuation!K56</f>
        <v>32.569467835305943</v>
      </c>
      <c r="M7" s="297"/>
      <c r="N7" s="297"/>
      <c r="O7" s="297"/>
      <c r="Q7" s="327">
        <f>Valuation!F17</f>
        <v>0.12380655725023622</v>
      </c>
      <c r="R7" s="297"/>
      <c r="S7" s="297"/>
      <c r="T7" s="297"/>
    </row>
    <row r="8" spans="1:21" ht="13.95" customHeight="1" x14ac:dyDescent="0.3">
      <c r="B8" s="324" t="str">
        <f>"FY2025A–FY2030E CAGR "&amp;TEXT((IS!P8/IS!K8)^(1/5)-1,"0.0%")</f>
        <v>FY2025A–FY2030E CAGR 11.2%</v>
      </c>
      <c r="C8" s="297"/>
      <c r="D8" s="297"/>
      <c r="E8" s="297"/>
      <c r="G8" s="324" t="str">
        <f>"from "&amp;TEXT(IS!K26,"0.0%")&amp;" in FY2025A"</f>
        <v>from 4.6% in FY2025A</v>
      </c>
      <c r="H8" s="297"/>
      <c r="I8" s="297"/>
      <c r="J8" s="297"/>
      <c r="L8" s="324" t="str">
        <f>"Sensitivity "&amp;TEXT(Valuation!E84,"$0.00")&amp;" – "&amp;TEXT(Valuation!I84,"$0.00")</f>
        <v>Sensitivity $26.18 – $45.82</v>
      </c>
      <c r="M8" s="297"/>
      <c r="N8" s="297"/>
      <c r="O8" s="297"/>
      <c r="Q8" s="324" t="str">
        <f>"CAPM · beta "&amp;TEXT(Assumptions!G59,"0.00")&amp;" · TGR "&amp;TEXT(Valuation!F18,"0.0%")</f>
        <v>CAPM · beta 1.85 · TGR 3.8%</v>
      </c>
      <c r="R8" s="297"/>
      <c r="S8" s="297"/>
      <c r="T8" s="297"/>
    </row>
    <row r="9" spans="1:21" ht="7.95" customHeight="1" x14ac:dyDescent="0.3"/>
    <row r="10" spans="1:21" ht="15" customHeight="1" x14ac:dyDescent="0.3">
      <c r="B10" s="320" t="s">
        <v>37</v>
      </c>
      <c r="C10" s="321"/>
      <c r="D10" s="321"/>
      <c r="E10" s="321"/>
      <c r="G10" s="320" t="s">
        <v>38</v>
      </c>
      <c r="H10" s="321"/>
      <c r="I10" s="321"/>
      <c r="J10" s="321"/>
      <c r="L10" s="320" t="s">
        <v>39</v>
      </c>
      <c r="M10" s="321"/>
      <c r="N10" s="321"/>
      <c r="O10" s="321"/>
      <c r="Q10" s="320" t="s">
        <v>40</v>
      </c>
      <c r="R10" s="321"/>
      <c r="S10" s="321"/>
      <c r="T10" s="321"/>
    </row>
    <row r="11" spans="1:21" ht="22.05" customHeight="1" x14ac:dyDescent="0.3">
      <c r="B11" s="334">
        <f>Valuation!G87</f>
        <v>376.37</v>
      </c>
      <c r="C11" s="297"/>
      <c r="D11" s="297"/>
      <c r="E11" s="297"/>
      <c r="G11" s="334">
        <f>Valuation!G85</f>
        <v>36.783650045080158</v>
      </c>
      <c r="H11" s="297"/>
      <c r="I11" s="297"/>
      <c r="J11" s="297"/>
      <c r="L11" s="331">
        <f>(IS!P8/IS!K8)^(1/5)-1</f>
        <v>0.1122405495729113</v>
      </c>
      <c r="M11" s="297"/>
      <c r="N11" s="297"/>
      <c r="O11" s="297"/>
      <c r="Q11" s="331">
        <f>Valuation!F18</f>
        <v>3.7999999999999999E-2</v>
      </c>
      <c r="R11" s="297"/>
      <c r="S11" s="297"/>
      <c r="T11" s="297"/>
    </row>
    <row r="12" spans="1:21" ht="13.05" customHeight="1" x14ac:dyDescent="0.3">
      <c r="B12" s="322" t="s">
        <v>41</v>
      </c>
      <c r="C12" s="323"/>
      <c r="D12" s="323"/>
      <c r="E12" s="323"/>
      <c r="G12" s="322" t="str">
        <f>"Range "&amp;TEXT(Valuation!E85,"$0.00")&amp;" – "&amp;TEXT(Valuation!I85,"$0.00")</f>
        <v>Range $30.27 – $51.77</v>
      </c>
      <c r="H12" s="323"/>
      <c r="I12" s="323"/>
      <c r="J12" s="323"/>
      <c r="L12" s="322" t="str">
        <f>"$"&amp;TEXT(IS!K8,"#,##0")&amp;"M  →  $"&amp;TEXT(IS!P8,"#,##0")&amp;"M"</f>
        <v>$94,827M  →  $161,408M</v>
      </c>
      <c r="M12" s="323"/>
      <c r="N12" s="323"/>
      <c r="O12" s="323"/>
      <c r="Q12" s="322" t="str">
        <f>"Terminal value = "&amp;TEXT(Valuation!K47,"0%")&amp;" of enterprise value"</f>
        <v>Terminal value = 78% of enterprise value</v>
      </c>
      <c r="R12" s="323"/>
      <c r="S12" s="323"/>
      <c r="T12" s="323"/>
    </row>
    <row r="13" spans="1:21" ht="12" customHeight="1" x14ac:dyDescent="0.3"/>
    <row r="14" spans="1:21" ht="6" customHeight="1" x14ac:dyDescent="0.3"/>
    <row r="15" spans="1:21" ht="15" customHeight="1" x14ac:dyDescent="0.3"/>
    <row r="16" spans="1:21" ht="15" customHeight="1" x14ac:dyDescent="0.3"/>
    <row r="17" customFormat="1" ht="15" customHeight="1" x14ac:dyDescent="0.3"/>
    <row r="18" customFormat="1" ht="15" customHeight="1" x14ac:dyDescent="0.3"/>
    <row r="19" customFormat="1" ht="15" customHeight="1" x14ac:dyDescent="0.3"/>
    <row r="20" customFormat="1" ht="15" customHeight="1" x14ac:dyDescent="0.3"/>
    <row r="21" customFormat="1" ht="15" customHeight="1" x14ac:dyDescent="0.3"/>
    <row r="22" customFormat="1" ht="15" customHeight="1" x14ac:dyDescent="0.3"/>
    <row r="23" customFormat="1" ht="15" customHeight="1" x14ac:dyDescent="0.3"/>
    <row r="24" customFormat="1" ht="15" customHeight="1" x14ac:dyDescent="0.3"/>
    <row r="25" customFormat="1" ht="15" customHeight="1" x14ac:dyDescent="0.3"/>
    <row r="26" customFormat="1" ht="15" customHeight="1" x14ac:dyDescent="0.3"/>
    <row r="27" customFormat="1" ht="15" customHeight="1" x14ac:dyDescent="0.3"/>
    <row r="28" customFormat="1" ht="15" customHeight="1" x14ac:dyDescent="0.3"/>
    <row r="29" customFormat="1" ht="15" customHeight="1" x14ac:dyDescent="0.3"/>
    <row r="30" customFormat="1" ht="15" customHeight="1" x14ac:dyDescent="0.3"/>
    <row r="31" customFormat="1" ht="15" customHeight="1" x14ac:dyDescent="0.3"/>
    <row r="32" customFormat="1" ht="15" customHeight="1" x14ac:dyDescent="0.3"/>
    <row r="33" spans="2:20" ht="15" customHeight="1" x14ac:dyDescent="0.3"/>
    <row r="34" spans="2:20" ht="15" customHeight="1" x14ac:dyDescent="0.3"/>
    <row r="35" spans="2:20" ht="15" customHeight="1" x14ac:dyDescent="0.3"/>
    <row r="36" spans="2:20" ht="15" customHeight="1" x14ac:dyDescent="0.3"/>
    <row r="37" spans="2:20" ht="15" customHeight="1" x14ac:dyDescent="0.3"/>
    <row r="38" spans="2:20" ht="15" customHeight="1" x14ac:dyDescent="0.3"/>
    <row r="39" spans="2:20" ht="15" customHeight="1" x14ac:dyDescent="0.3"/>
    <row r="40" spans="2:20" ht="15" customHeight="1" x14ac:dyDescent="0.3"/>
    <row r="41" spans="2:20" ht="15" customHeight="1" x14ac:dyDescent="0.3"/>
    <row r="42" spans="2:20" ht="15" customHeight="1" x14ac:dyDescent="0.3"/>
    <row r="43" spans="2:20" ht="15" customHeight="1" x14ac:dyDescent="0.3"/>
    <row r="44" spans="2:20" ht="15" customHeight="1" x14ac:dyDescent="0.3"/>
    <row r="45" spans="2:20" ht="15" customHeight="1" x14ac:dyDescent="0.3"/>
    <row r="46" spans="2:20" ht="13.05" customHeight="1" x14ac:dyDescent="0.3">
      <c r="L46" s="346" t="str">
        <f>"Football field: market-price bar runs off the plot area — the axis is capped at $60 so the "&amp;"DCF and comparable ranges keep full resolution. Market price = "&amp;TEXT(Valuation!G87,"$0.00")&amp;"."</f>
        <v>Football field: market-price bar runs off the plot area — the axis is capped at $60 so the DCF and comparable ranges keep full resolution. Market price = $376.37.</v>
      </c>
      <c r="M46" s="297"/>
      <c r="N46" s="297"/>
      <c r="O46" s="297"/>
      <c r="P46" s="297"/>
      <c r="Q46" s="297"/>
      <c r="R46" s="297"/>
      <c r="S46" s="297"/>
      <c r="T46" s="297"/>
    </row>
    <row r="47" spans="2:20" ht="16.95" customHeight="1" x14ac:dyDescent="0.3">
      <c r="B47" s="24" t="s">
        <v>42</v>
      </c>
      <c r="C47" s="25"/>
      <c r="D47" s="25"/>
      <c r="E47" s="25"/>
      <c r="F47" s="25"/>
      <c r="G47" s="25"/>
      <c r="H47" s="25"/>
      <c r="I47" s="25"/>
      <c r="J47" s="25"/>
      <c r="L47" s="24" t="s">
        <v>43</v>
      </c>
      <c r="M47" s="25"/>
      <c r="N47" s="25"/>
      <c r="O47" s="25"/>
      <c r="P47" s="25"/>
      <c r="Q47" s="25"/>
      <c r="R47" s="25"/>
      <c r="S47" s="25"/>
      <c r="T47" s="25"/>
    </row>
    <row r="48" spans="2:20" ht="16.05" customHeight="1" x14ac:dyDescent="0.3">
      <c r="B48" s="336" t="s">
        <v>44</v>
      </c>
      <c r="C48" s="297"/>
      <c r="D48" s="297"/>
      <c r="E48" s="297"/>
      <c r="F48" s="297"/>
      <c r="G48" s="26" t="s">
        <v>45</v>
      </c>
      <c r="H48" s="26" t="s">
        <v>46</v>
      </c>
      <c r="I48" s="26" t="s">
        <v>47</v>
      </c>
      <c r="J48" s="26" t="s">
        <v>48</v>
      </c>
      <c r="L48" s="326" t="s">
        <v>49</v>
      </c>
      <c r="M48" s="314"/>
      <c r="N48" s="314"/>
      <c r="O48" s="314"/>
      <c r="P48" s="314"/>
      <c r="Q48" s="314"/>
      <c r="R48" s="332" t="str">
        <f>'Model Checks'!E6</f>
        <v>PASS</v>
      </c>
      <c r="S48" s="314"/>
      <c r="T48" s="314"/>
    </row>
    <row r="49" spans="2:20" ht="15" customHeight="1" x14ac:dyDescent="0.3">
      <c r="B49" s="326" t="s">
        <v>50</v>
      </c>
      <c r="C49" s="314"/>
      <c r="D49" s="314"/>
      <c r="E49" s="314"/>
      <c r="F49" s="314"/>
      <c r="G49" s="28">
        <f>Valuation!E84</f>
        <v>26.18457419640416</v>
      </c>
      <c r="H49" s="29">
        <f>Valuation!G84</f>
        <v>32.569467835305943</v>
      </c>
      <c r="I49" s="28">
        <f>Valuation!I84</f>
        <v>45.822430181643128</v>
      </c>
      <c r="J49" s="30">
        <f>Valuation!G84/Valuation!$G$87-1</f>
        <v>-0.91346422978636466</v>
      </c>
      <c r="L49" s="326" t="s">
        <v>51</v>
      </c>
      <c r="M49" s="314"/>
      <c r="N49" s="314"/>
      <c r="O49" s="314"/>
      <c r="P49" s="314"/>
      <c r="Q49" s="314"/>
      <c r="R49" s="332" t="str">
        <f>'Model Checks'!E7</f>
        <v>PASS</v>
      </c>
      <c r="S49" s="314"/>
      <c r="T49" s="314"/>
    </row>
    <row r="50" spans="2:20" ht="15" customHeight="1" x14ac:dyDescent="0.3">
      <c r="B50" s="326" t="s">
        <v>52</v>
      </c>
      <c r="C50" s="314"/>
      <c r="D50" s="314"/>
      <c r="E50" s="314"/>
      <c r="F50" s="314"/>
      <c r="G50" s="28">
        <f>Valuation!E85</f>
        <v>30.271642257489678</v>
      </c>
      <c r="H50" s="29">
        <f>Valuation!G85</f>
        <v>36.783650045080158</v>
      </c>
      <c r="I50" s="28">
        <f>Valuation!I85</f>
        <v>51.770476818382775</v>
      </c>
      <c r="J50" s="30">
        <f>Valuation!G85/Valuation!$G$87-1</f>
        <v>-0.90226731661641424</v>
      </c>
      <c r="L50" s="326" t="s">
        <v>53</v>
      </c>
      <c r="M50" s="314"/>
      <c r="N50" s="314"/>
      <c r="O50" s="314"/>
      <c r="P50" s="314"/>
      <c r="Q50" s="314"/>
      <c r="R50" s="332" t="str">
        <f>'Model Checks'!E11</f>
        <v>PASS</v>
      </c>
      <c r="S50" s="314"/>
      <c r="T50" s="314"/>
    </row>
    <row r="51" spans="2:20" ht="15" customHeight="1" x14ac:dyDescent="0.3">
      <c r="B51" s="343" t="s">
        <v>54</v>
      </c>
      <c r="C51" s="314"/>
      <c r="D51" s="314"/>
      <c r="E51" s="314"/>
      <c r="F51" s="314"/>
      <c r="G51" s="28" t="s">
        <v>55</v>
      </c>
      <c r="H51" s="29">
        <f>Valuation!G87</f>
        <v>376.37</v>
      </c>
      <c r="I51" s="28" t="s">
        <v>55</v>
      </c>
      <c r="J51" s="30" t="s">
        <v>55</v>
      </c>
      <c r="L51" s="326" t="s">
        <v>56</v>
      </c>
      <c r="M51" s="314"/>
      <c r="N51" s="314"/>
      <c r="O51" s="314"/>
      <c r="P51" s="314"/>
      <c r="Q51" s="314"/>
      <c r="R51" s="332" t="str">
        <f ca="1">'Model Checks'!E18</f>
        <v>PASS</v>
      </c>
      <c r="S51" s="314"/>
      <c r="T51" s="314"/>
    </row>
    <row r="52" spans="2:20" ht="7.95" customHeight="1" x14ac:dyDescent="0.3"/>
    <row r="53" spans="2:20" ht="16.95" customHeight="1" x14ac:dyDescent="0.3">
      <c r="B53" s="24" t="s">
        <v>57</v>
      </c>
      <c r="C53" s="25"/>
      <c r="D53" s="25"/>
      <c r="E53" s="25"/>
      <c r="F53" s="25"/>
      <c r="G53" s="25"/>
      <c r="H53" s="25"/>
      <c r="I53" s="25"/>
      <c r="J53" s="25"/>
      <c r="K53" s="25"/>
      <c r="L53" s="25"/>
      <c r="M53" s="25"/>
      <c r="N53" s="25"/>
      <c r="O53" s="25"/>
      <c r="P53" s="25"/>
      <c r="Q53" s="25"/>
      <c r="R53" s="25"/>
      <c r="S53" s="25"/>
      <c r="T53" s="25"/>
    </row>
    <row r="54" spans="2:20" ht="16.05" customHeight="1" x14ac:dyDescent="0.3">
      <c r="B54" s="333" t="s">
        <v>58</v>
      </c>
      <c r="C54" s="330"/>
      <c r="D54" s="330"/>
      <c r="E54" s="31" t="s">
        <v>59</v>
      </c>
      <c r="G54" s="31" t="s">
        <v>60</v>
      </c>
      <c r="H54" s="31" t="s">
        <v>61</v>
      </c>
      <c r="I54" s="31" t="s">
        <v>62</v>
      </c>
      <c r="J54" s="31" t="s">
        <v>63</v>
      </c>
      <c r="L54" s="31" t="s">
        <v>64</v>
      </c>
      <c r="M54" s="31" t="s">
        <v>48</v>
      </c>
      <c r="N54" s="329" t="s">
        <v>65</v>
      </c>
      <c r="O54" s="330"/>
      <c r="P54" s="330"/>
      <c r="Q54" s="330"/>
      <c r="R54" s="330"/>
      <c r="S54" s="330"/>
      <c r="T54" s="330"/>
    </row>
    <row r="55" spans="2:20" ht="15" customHeight="1" x14ac:dyDescent="0.3">
      <c r="B55" s="328" t="s">
        <v>66</v>
      </c>
      <c r="C55" s="314"/>
      <c r="D55" s="314"/>
      <c r="E55" s="32">
        <f>'Scenario Analysis'!G6</f>
        <v>113105.54107996881</v>
      </c>
      <c r="F55" s="22"/>
      <c r="G55" s="33">
        <f>'Scenario Analysis'!G11</f>
        <v>6.0189657008412931E-2</v>
      </c>
      <c r="H55" s="32">
        <f>'Scenario Analysis'!G13</f>
        <v>2369.8930527770717</v>
      </c>
      <c r="I55" s="32">
        <f>'Scenario Analysis'!G14</f>
        <v>16863.275808634418</v>
      </c>
      <c r="J55" s="32">
        <f>'Scenario Analysis'!G15</f>
        <v>51818.275808634418</v>
      </c>
      <c r="K55" s="22"/>
      <c r="L55" s="29">
        <f>'Scenario Analysis'!G16</f>
        <v>13.118550837628966</v>
      </c>
      <c r="M55" s="33">
        <f>'Scenario Analysis'!G17</f>
        <v>-0.96514453639336562</v>
      </c>
      <c r="N55" s="325" t="s">
        <v>67</v>
      </c>
      <c r="O55" s="314"/>
      <c r="P55" s="314"/>
      <c r="Q55" s="314"/>
      <c r="R55" s="314"/>
      <c r="S55" s="314"/>
      <c r="T55" s="314"/>
    </row>
    <row r="56" spans="2:20" ht="15" customHeight="1" x14ac:dyDescent="0.3">
      <c r="B56" s="344" t="s">
        <v>46</v>
      </c>
      <c r="C56" s="314"/>
      <c r="D56" s="314"/>
      <c r="E56" s="32">
        <f>'Scenario Analysis'!I6</f>
        <v>161408.21433343834</v>
      </c>
      <c r="F56" s="22"/>
      <c r="G56" s="33">
        <f>'Scenario Analysis'!I11</f>
        <v>0.12740559868265619</v>
      </c>
      <c r="H56" s="32">
        <f>'Scenario Analysis'!I13</f>
        <v>10814.999874987323</v>
      </c>
      <c r="I56" s="32">
        <f>'Scenario Analysis'!I14</f>
        <v>93694.397949458449</v>
      </c>
      <c r="J56" s="32">
        <f>'Scenario Analysis'!I15</f>
        <v>128649.39794945845</v>
      </c>
      <c r="K56" s="22"/>
      <c r="L56" s="29">
        <f>'Scenario Analysis'!I16</f>
        <v>32.569467835305936</v>
      </c>
      <c r="M56" s="33">
        <f>'Scenario Analysis'!I17</f>
        <v>-0.91346422978636466</v>
      </c>
      <c r="N56" s="325" t="s">
        <v>857</v>
      </c>
      <c r="O56" s="314"/>
      <c r="P56" s="314"/>
      <c r="Q56" s="314"/>
      <c r="R56" s="314"/>
      <c r="S56" s="314"/>
      <c r="T56" s="314"/>
    </row>
    <row r="57" spans="2:20" ht="15" customHeight="1" x14ac:dyDescent="0.3">
      <c r="B57" s="347" t="s">
        <v>68</v>
      </c>
      <c r="C57" s="314"/>
      <c r="D57" s="314"/>
      <c r="E57" s="32">
        <f>'Scenario Analysis'!K6</f>
        <v>206513.15804175247</v>
      </c>
      <c r="F57" s="22"/>
      <c r="G57" s="33">
        <f>'Scenario Analysis'!K11</f>
        <v>0.17008754791840283</v>
      </c>
      <c r="H57" s="32">
        <f>'Scenario Analysis'!K13</f>
        <v>20083.529219003543</v>
      </c>
      <c r="I57" s="32">
        <f>'Scenario Analysis'!K14</f>
        <v>176169.40917809051</v>
      </c>
      <c r="J57" s="32">
        <f>'Scenario Analysis'!K15</f>
        <v>211124.40917809051</v>
      </c>
      <c r="K57" s="22"/>
      <c r="L57" s="29">
        <f>'Scenario Analysis'!K16</f>
        <v>53.449217513440637</v>
      </c>
      <c r="M57" s="33">
        <f>'Scenario Analysis'!K17</f>
        <v>-0.85798757203432618</v>
      </c>
      <c r="N57" s="325" t="s">
        <v>69</v>
      </c>
      <c r="O57" s="314"/>
      <c r="P57" s="314"/>
      <c r="Q57" s="314"/>
      <c r="R57" s="314"/>
      <c r="S57" s="314"/>
      <c r="T57" s="314"/>
    </row>
    <row r="58" spans="2:20" ht="7.95" customHeight="1" x14ac:dyDescent="0.3"/>
    <row r="59" spans="2:20" ht="25.95" customHeight="1" x14ac:dyDescent="0.3">
      <c r="B59" s="345" t="str">
        <f>"Selected case: "&amp;UPPER(CHOOSE(Assumptions!$L$2,"Bear","Base","Bull"))&amp;". Modelled fundamentals imply "&amp;TEXT(Valuation!K56,"$0.00")&amp;" per share on the DCF and "&amp;TEXT(Valuation!G85,"$0.00")&amp;" on trading comparables, against a market price of "&amp;TEXT(Valuation!G87,"$0.00")&amp;". Across Bear to Bull the DCF spans "&amp;TEXT('Scenario Analysis'!G16,"$0.00")&amp;" to "&amp;TEXT('Scenario Analysis'!K16,"$0.00")&amp;", so the gap to the market price is not a scenario question. The Reverse DCF sheet shows what the market price would require: roughly "&amp;TEXT('Reverse DCF'!F61,"0.0")&amp;"x the Base Case FY2030E free cash flow."</f>
        <v>Selected case: BASE. Modelled fundamentals imply $32.57 per share on the DCF and $36.78 on trading comparables, against a market price of $376.37. Across Bear to Bull the DCF spans $13.12 to $53.45, so the gap to the market price is not a scenario question. The Reverse DCF sheet shows what the market price would require: roughly 15.7x the Base Case FY2030E free cash flow.</v>
      </c>
      <c r="C59" s="297"/>
      <c r="D59" s="297"/>
      <c r="E59" s="297"/>
      <c r="F59" s="297"/>
      <c r="G59" s="297"/>
      <c r="H59" s="297"/>
      <c r="I59" s="297"/>
      <c r="J59" s="297"/>
      <c r="K59" s="297"/>
      <c r="L59" s="297"/>
      <c r="M59" s="297"/>
      <c r="N59" s="297"/>
      <c r="O59" s="297"/>
      <c r="P59" s="297"/>
      <c r="Q59" s="297"/>
      <c r="R59" s="297"/>
      <c r="S59" s="297"/>
      <c r="T59" s="297"/>
    </row>
    <row r="60" spans="2:20" ht="6" customHeight="1" x14ac:dyDescent="0.3"/>
    <row r="61" spans="2:20" ht="13.95" customHeight="1" x14ac:dyDescent="0.3">
      <c r="B61" s="342" t="s">
        <v>70</v>
      </c>
      <c r="C61" s="297"/>
      <c r="D61" s="297"/>
      <c r="E61" s="297"/>
      <c r="F61" s="297"/>
      <c r="G61" s="297"/>
      <c r="H61" s="297"/>
      <c r="I61" s="297"/>
      <c r="J61" s="297"/>
      <c r="K61" s="297"/>
      <c r="L61" s="297"/>
      <c r="M61" s="297"/>
      <c r="N61" s="297"/>
      <c r="O61" s="297"/>
      <c r="P61" s="297"/>
      <c r="Q61" s="297"/>
      <c r="R61" s="297"/>
      <c r="S61" s="297"/>
      <c r="T61" s="297"/>
    </row>
  </sheetData>
  <mergeCells count="50">
    <mergeCell ref="B61:T61"/>
    <mergeCell ref="R49:T49"/>
    <mergeCell ref="B51:F51"/>
    <mergeCell ref="B56:D56"/>
    <mergeCell ref="L10:O10"/>
    <mergeCell ref="B10:E10"/>
    <mergeCell ref="B59:T59"/>
    <mergeCell ref="L46:T46"/>
    <mergeCell ref="L49:Q49"/>
    <mergeCell ref="N57:T57"/>
    <mergeCell ref="B57:D57"/>
    <mergeCell ref="N56:T56"/>
    <mergeCell ref="B11:E11"/>
    <mergeCell ref="R48:T48"/>
    <mergeCell ref="L48:Q48"/>
    <mergeCell ref="Q10:T10"/>
    <mergeCell ref="M1:T1"/>
    <mergeCell ref="B48:F48"/>
    <mergeCell ref="R50:T50"/>
    <mergeCell ref="B1:L1"/>
    <mergeCell ref="B3:T3"/>
    <mergeCell ref="B6:E6"/>
    <mergeCell ref="L6:O6"/>
    <mergeCell ref="G6:J6"/>
    <mergeCell ref="B8:E8"/>
    <mergeCell ref="Q6:T6"/>
    <mergeCell ref="Q8:T8"/>
    <mergeCell ref="G8:J8"/>
    <mergeCell ref="B12:E12"/>
    <mergeCell ref="B50:F50"/>
    <mergeCell ref="B7:E7"/>
    <mergeCell ref="L7:O7"/>
    <mergeCell ref="B55:D55"/>
    <mergeCell ref="N54:T54"/>
    <mergeCell ref="Q11:T11"/>
    <mergeCell ref="R51:T51"/>
    <mergeCell ref="L11:O11"/>
    <mergeCell ref="L51:Q51"/>
    <mergeCell ref="B49:F49"/>
    <mergeCell ref="B54:D54"/>
    <mergeCell ref="G12:J12"/>
    <mergeCell ref="Q12:T12"/>
    <mergeCell ref="G11:J11"/>
    <mergeCell ref="G7:J7"/>
    <mergeCell ref="G10:J10"/>
    <mergeCell ref="L12:O12"/>
    <mergeCell ref="L8:O8"/>
    <mergeCell ref="N55:T55"/>
    <mergeCell ref="L50:Q50"/>
    <mergeCell ref="Q7:T7"/>
  </mergeCells>
  <conditionalFormatting sqref="R48:R51">
    <cfRule type="expression" dxfId="3" priority="2">
      <formula>R48="FAIL"</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00000000-000E-0000-0100-000001000000}">
            <xm:f>$B55=CHOOSE(Assumptions!$L$2,"Bear","Base","Bull")</xm:f>
            <x14:dxf>
              <fill>
                <patternFill>
                  <bgColor rgb="FFFDECEE"/>
                </patternFill>
              </fill>
            </x14:dxf>
          </x14:cfRule>
          <xm:sqref>B55:T57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31937"/>
  </sheetPr>
  <dimension ref="A1:AA102"/>
  <sheetViews>
    <sheetView showGridLines="0" workbookViewId="0">
      <pane xSplit="6" ySplit="4" topLeftCell="O37" activePane="bottomRight" state="frozen"/>
      <selection pane="topRight" activeCell="G1" sqref="G1"/>
      <selection pane="bottomLeft" activeCell="A5" sqref="A5"/>
      <selection pane="bottomRight" activeCell="C57" sqref="C57"/>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 min="17" max="17" width="1.5546875" customWidth="1"/>
    <col min="18" max="25" width="12.44140625" customWidth="1"/>
    <col min="26" max="26" width="3" customWidth="1"/>
    <col min="27" max="27" width="90" hidden="1" customWidth="1"/>
  </cols>
  <sheetData>
    <row r="1" spans="1:27" ht="27" customHeight="1" x14ac:dyDescent="0.3">
      <c r="A1" s="301" t="s">
        <v>1</v>
      </c>
      <c r="B1" s="299"/>
      <c r="C1" s="299"/>
      <c r="D1" s="299"/>
      <c r="E1" s="298" t="s">
        <v>71</v>
      </c>
      <c r="F1" s="299"/>
      <c r="G1" s="304" t="s">
        <v>72</v>
      </c>
      <c r="H1" s="299"/>
      <c r="I1" s="299"/>
      <c r="J1" s="299"/>
      <c r="K1" s="299"/>
      <c r="L1" s="299"/>
      <c r="M1" s="299"/>
      <c r="N1" s="299"/>
      <c r="O1" s="299"/>
      <c r="P1" s="299"/>
      <c r="Q1" s="35"/>
      <c r="R1" s="35"/>
      <c r="S1" s="35"/>
      <c r="T1" s="35"/>
      <c r="U1" s="35"/>
      <c r="V1" s="35"/>
      <c r="W1" s="35"/>
      <c r="X1" s="35"/>
      <c r="Y1" s="35"/>
      <c r="Z1" s="35"/>
      <c r="AA1" s="36" t="s">
        <v>73</v>
      </c>
    </row>
    <row r="2" spans="1:27" ht="16.95" customHeight="1" x14ac:dyDescent="0.3">
      <c r="A2" s="305" t="s">
        <v>74</v>
      </c>
      <c r="B2" s="297"/>
      <c r="C2" s="297"/>
      <c r="D2" s="297"/>
      <c r="E2" s="297"/>
      <c r="F2" s="297"/>
      <c r="G2" s="297"/>
      <c r="H2" s="297"/>
      <c r="I2" s="297"/>
      <c r="K2" s="37" t="s">
        <v>75</v>
      </c>
      <c r="L2" s="38">
        <v>2</v>
      </c>
      <c r="M2" s="39" t="str">
        <f>CHOOSE($L$2,"Bear","Base","Bull")</f>
        <v>Base</v>
      </c>
      <c r="N2" s="303" t="str">
        <f>CHOOSE($L$2,"case — downside operating environment","case — current fundamental forecast","case — strong but defensible execution")</f>
        <v>case — current fundamental forecast</v>
      </c>
      <c r="O2" s="297"/>
      <c r="P2" s="297"/>
      <c r="Q2" s="35"/>
      <c r="R2" s="35"/>
      <c r="S2" s="35"/>
      <c r="T2" s="35"/>
      <c r="U2" s="35"/>
      <c r="V2" s="35"/>
      <c r="W2" s="35"/>
      <c r="X2" s="35"/>
      <c r="Y2" s="35"/>
      <c r="Z2" s="35"/>
    </row>
    <row r="3" spans="1:27" ht="16.95" customHeight="1" x14ac:dyDescent="0.3">
      <c r="E3" s="40" t="s">
        <v>76</v>
      </c>
      <c r="G3" s="41" t="s">
        <v>77</v>
      </c>
      <c r="H3" s="41" t="s">
        <v>78</v>
      </c>
      <c r="I3" s="41" t="s">
        <v>79</v>
      </c>
      <c r="J3" s="41" t="s">
        <v>80</v>
      </c>
      <c r="K3" s="41" t="s">
        <v>81</v>
      </c>
      <c r="L3" s="42" t="s">
        <v>82</v>
      </c>
      <c r="M3" s="42" t="s">
        <v>83</v>
      </c>
      <c r="N3" s="42" t="s">
        <v>84</v>
      </c>
      <c r="O3" s="42" t="s">
        <v>85</v>
      </c>
      <c r="P3" s="42" t="s">
        <v>86</v>
      </c>
      <c r="Q3" s="300"/>
      <c r="R3" s="300"/>
      <c r="S3" s="300"/>
      <c r="T3" s="300"/>
      <c r="U3" s="300"/>
      <c r="V3" s="300"/>
      <c r="W3" s="300"/>
      <c r="X3" s="35"/>
      <c r="Y3" s="35"/>
      <c r="Z3" s="35"/>
    </row>
    <row r="4" spans="1:27" ht="4.95" customHeight="1" x14ac:dyDescent="0.3">
      <c r="Q4" s="302" t="s">
        <v>87</v>
      </c>
      <c r="R4" s="300"/>
      <c r="S4" s="300"/>
      <c r="T4" s="300"/>
      <c r="U4" s="300"/>
      <c r="V4" s="300"/>
      <c r="W4" s="300"/>
      <c r="X4" s="35"/>
      <c r="Y4" s="35"/>
      <c r="Z4" s="35"/>
    </row>
    <row r="5" spans="1:27" ht="16.95" customHeight="1" x14ac:dyDescent="0.3">
      <c r="A5" s="24" t="s">
        <v>88</v>
      </c>
      <c r="B5" s="25"/>
      <c r="C5" s="25"/>
      <c r="D5" s="25"/>
      <c r="E5" s="25"/>
      <c r="F5" s="25"/>
      <c r="G5" s="25"/>
      <c r="H5" s="25"/>
      <c r="I5" s="25"/>
      <c r="J5" s="25"/>
      <c r="K5" s="25"/>
      <c r="L5" s="25"/>
      <c r="M5" s="25"/>
      <c r="N5" s="25"/>
      <c r="O5" s="25"/>
      <c r="P5" s="25"/>
      <c r="Q5" s="35"/>
      <c r="X5" s="35"/>
      <c r="Y5" s="35"/>
      <c r="Z5" s="35"/>
      <c r="AA5" s="43" t="s">
        <v>89</v>
      </c>
    </row>
    <row r="6" spans="1:27" ht="14.1" customHeight="1" x14ac:dyDescent="0.3">
      <c r="C6" s="44" t="s">
        <v>90</v>
      </c>
      <c r="E6" s="45" t="s">
        <v>91</v>
      </c>
      <c r="G6" s="46">
        <f>'Revenue Build-up'!G5</f>
        <v>936172</v>
      </c>
      <c r="H6" s="46">
        <f>'Revenue Build-up'!H5</f>
        <v>1313851</v>
      </c>
      <c r="I6" s="46">
        <f>'Revenue Build-up'!I5</f>
        <v>1808581</v>
      </c>
      <c r="J6" s="46">
        <f>'Revenue Build-up'!J5</f>
        <v>1789226</v>
      </c>
      <c r="K6" s="46">
        <f>'Revenue Build-up'!K5</f>
        <v>1636129</v>
      </c>
      <c r="L6" s="46">
        <f>'Revenue Build-up'!L5</f>
        <v>1734296.74</v>
      </c>
      <c r="M6" s="46">
        <f>'Revenue Build-up'!M5</f>
        <v>1907726.4140000001</v>
      </c>
      <c r="N6" s="46">
        <f>'Revenue Build-up'!N5</f>
        <v>2136653.5836800002</v>
      </c>
      <c r="O6" s="46">
        <f>'Revenue Build-up'!O5</f>
        <v>2350318.9420480002</v>
      </c>
      <c r="P6" s="46">
        <f>'Revenue Build-up'!P5</f>
        <v>2538344.4574118406</v>
      </c>
      <c r="Q6" s="35"/>
      <c r="X6" s="35"/>
      <c r="Y6" s="35"/>
      <c r="Z6" s="35"/>
    </row>
    <row r="7" spans="1:27" ht="14.1" customHeight="1" x14ac:dyDescent="0.3">
      <c r="C7" s="23" t="s">
        <v>92</v>
      </c>
      <c r="H7" s="47">
        <f>'Revenue Build-up'!H5/'Revenue Build-up'!G5-1</f>
        <v>0.40342907072631951</v>
      </c>
      <c r="I7" s="47">
        <f>'Revenue Build-up'!I5/'Revenue Build-up'!H5-1</f>
        <v>0.37654954785588313</v>
      </c>
      <c r="J7" s="47">
        <f>'Revenue Build-up'!J5/'Revenue Build-up'!I5-1</f>
        <v>-1.0701760109168457E-2</v>
      </c>
      <c r="K7" s="47">
        <f>'Revenue Build-up'!K5/'Revenue Build-up'!J5-1</f>
        <v>-8.5566049230225816E-2</v>
      </c>
      <c r="L7" s="48">
        <f>CHOOSE($L$2,L68,L69,L70)</f>
        <v>0.06</v>
      </c>
      <c r="M7" s="48">
        <f>CHOOSE($L$2,M68,M69,M70)</f>
        <v>0.1</v>
      </c>
      <c r="N7" s="48">
        <f>CHOOSE($L$2,N68,N69,N70)</f>
        <v>0.12</v>
      </c>
      <c r="O7" s="48">
        <f>CHOOSE($L$2,O68,O69,O70)</f>
        <v>0.1</v>
      </c>
      <c r="P7" s="48">
        <f>CHOOSE($L$2,P68,P69,P70)</f>
        <v>0.08</v>
      </c>
      <c r="Q7" s="35"/>
      <c r="X7" s="35"/>
      <c r="Y7" s="35"/>
      <c r="Z7" s="35"/>
    </row>
    <row r="8" spans="1:27" ht="4.95" customHeight="1" x14ac:dyDescent="0.3">
      <c r="Q8" s="35"/>
      <c r="X8" s="35"/>
      <c r="Y8" s="35"/>
      <c r="Z8" s="35"/>
    </row>
    <row r="9" spans="1:27" ht="14.1" customHeight="1" x14ac:dyDescent="0.3">
      <c r="C9" s="44" t="s">
        <v>93</v>
      </c>
      <c r="E9" s="45" t="s">
        <v>94</v>
      </c>
      <c r="G9" s="49">
        <f>'Revenue Build-up'!G6</f>
        <v>48887.383942266999</v>
      </c>
      <c r="H9" s="49">
        <f>'Revenue Build-up'!H6</f>
        <v>53039.499912851599</v>
      </c>
      <c r="I9" s="49">
        <f>'Revenue Build-up'!I6</f>
        <v>44581.359640513801</v>
      </c>
      <c r="J9" s="49">
        <f>'Revenue Build-up'!J6</f>
        <v>41530.248274952399</v>
      </c>
      <c r="K9" s="49">
        <f>'Revenue Build-up'!K6</f>
        <v>41276.085198661</v>
      </c>
      <c r="L9" s="49">
        <f>'Revenue Build-up'!L6</f>
        <v>40037.802642701172</v>
      </c>
      <c r="M9" s="49">
        <f>'Revenue Build-up'!M6</f>
        <v>39237.046589847145</v>
      </c>
      <c r="N9" s="49">
        <f>'Revenue Build-up'!N6</f>
        <v>39629.417055745616</v>
      </c>
      <c r="O9" s="49">
        <f>'Revenue Build-up'!O6</f>
        <v>40025.711226303072</v>
      </c>
      <c r="P9" s="49">
        <f>'Revenue Build-up'!P6</f>
        <v>40826.225450829137</v>
      </c>
      <c r="Q9" s="35"/>
      <c r="X9" s="35"/>
      <c r="Y9" s="35"/>
      <c r="Z9" s="35"/>
    </row>
    <row r="10" spans="1:27" ht="14.1" customHeight="1" x14ac:dyDescent="0.3">
      <c r="C10" s="23" t="s">
        <v>95</v>
      </c>
      <c r="H10" s="47">
        <f>'Revenue Build-up'!H6/'Revenue Build-up'!G6-1</f>
        <v>8.4932259322527681E-2</v>
      </c>
      <c r="I10" s="47">
        <f>'Revenue Build-up'!I6/'Revenue Build-up'!H6-1</f>
        <v>-0.15946870325390017</v>
      </c>
      <c r="J10" s="47">
        <f>'Revenue Build-up'!J6/'Revenue Build-up'!I6-1</f>
        <v>-6.8439172563697914E-2</v>
      </c>
      <c r="K10" s="47">
        <f>'Revenue Build-up'!K6/'Revenue Build-up'!J6-1</f>
        <v>-6.1199508032965255E-3</v>
      </c>
      <c r="L10" s="48">
        <f>CHOOSE($L$2,L71,L72,L73)</f>
        <v>-0.03</v>
      </c>
      <c r="M10" s="48">
        <f>CHOOSE($L$2,M71,M72,M73)</f>
        <v>-0.02</v>
      </c>
      <c r="N10" s="48">
        <f>CHOOSE($L$2,N71,N72,N73)</f>
        <v>0.01</v>
      </c>
      <c r="O10" s="48">
        <f>CHOOSE($L$2,O71,O72,O73)</f>
        <v>0.01</v>
      </c>
      <c r="P10" s="48">
        <f>CHOOSE($L$2,P71,P72,P73)</f>
        <v>0.02</v>
      </c>
      <c r="Q10" s="35"/>
      <c r="X10" s="35"/>
      <c r="Y10" s="35"/>
      <c r="Z10" s="35"/>
    </row>
    <row r="11" spans="1:27" ht="14.1" customHeight="1" x14ac:dyDescent="0.3">
      <c r="C11" s="44" t="s">
        <v>96</v>
      </c>
      <c r="E11" s="45" t="s">
        <v>97</v>
      </c>
      <c r="G11" s="46">
        <f>'Revenue Build-up'!G8</f>
        <v>1465</v>
      </c>
      <c r="H11" s="46">
        <f>'Revenue Build-up'!H8</f>
        <v>1776</v>
      </c>
      <c r="I11" s="46">
        <f>'Revenue Build-up'!I8</f>
        <v>1790</v>
      </c>
      <c r="J11" s="46">
        <f>'Revenue Build-up'!J8</f>
        <v>2763</v>
      </c>
      <c r="K11" s="46">
        <f>'Revenue Build-up'!K8</f>
        <v>1993</v>
      </c>
      <c r="L11" s="46">
        <f>'Revenue Build-up'!L8</f>
        <v>1395.1</v>
      </c>
      <c r="M11" s="46">
        <f>'Revenue Build-up'!M8</f>
        <v>1116.08</v>
      </c>
      <c r="N11" s="46">
        <f>'Revenue Build-up'!N8</f>
        <v>1004.472</v>
      </c>
      <c r="O11" s="46">
        <f>'Revenue Build-up'!O8</f>
        <v>954.24839999999995</v>
      </c>
      <c r="P11" s="46">
        <f>'Revenue Build-up'!P8</f>
        <v>906.53597999999988</v>
      </c>
      <c r="Q11" s="35"/>
      <c r="X11" s="35"/>
      <c r="Y11" s="35"/>
      <c r="Z11" s="35"/>
    </row>
    <row r="12" spans="1:27" ht="14.1" customHeight="1" x14ac:dyDescent="0.3">
      <c r="C12" s="23" t="s">
        <v>98</v>
      </c>
      <c r="H12" s="47">
        <f>'Revenue Build-up'!H8/'Revenue Build-up'!G8-1</f>
        <v>0.21228668941979523</v>
      </c>
      <c r="I12" s="47">
        <f>'Revenue Build-up'!I8/'Revenue Build-up'!H8-1</f>
        <v>7.8828828828829689E-3</v>
      </c>
      <c r="J12" s="47">
        <f>'Revenue Build-up'!J8/'Revenue Build-up'!I8-1</f>
        <v>0.54357541899441331</v>
      </c>
      <c r="K12" s="47">
        <f>'Revenue Build-up'!K8/'Revenue Build-up'!J8-1</f>
        <v>-0.27868259138617446</v>
      </c>
      <c r="L12" s="48">
        <f>CHOOSE($L$2,L74,L75,L76)</f>
        <v>-0.3</v>
      </c>
      <c r="M12" s="48">
        <f>CHOOSE($L$2,M74,M75,M76)</f>
        <v>-0.2</v>
      </c>
      <c r="N12" s="48">
        <f>CHOOSE($L$2,N74,N75,N76)</f>
        <v>-0.1</v>
      </c>
      <c r="O12" s="48">
        <f>CHOOSE($L$2,O74,O75,O76)</f>
        <v>-0.05</v>
      </c>
      <c r="P12" s="48">
        <f>CHOOSE($L$2,P74,P75,P76)</f>
        <v>-0.05</v>
      </c>
      <c r="Q12" s="35"/>
      <c r="X12" s="35"/>
      <c r="Y12" s="35"/>
      <c r="Z12" s="35"/>
    </row>
    <row r="13" spans="1:27" ht="4.95" customHeight="1" x14ac:dyDescent="0.3">
      <c r="Q13" s="35"/>
      <c r="X13" s="35"/>
      <c r="Y13" s="35"/>
      <c r="Z13" s="35"/>
    </row>
    <row r="14" spans="1:27" ht="14.1" customHeight="1" x14ac:dyDescent="0.3">
      <c r="C14" s="23" t="s">
        <v>99</v>
      </c>
      <c r="G14" s="47">
        <f>'Cost Build-up'!G6</f>
        <v>0.29300050813008094</v>
      </c>
      <c r="H14" s="47">
        <f>'Cost Build-up'!H6</f>
        <v>0.28482270297500756</v>
      </c>
      <c r="I14" s="47">
        <f>'Cost Build-up'!I6</f>
        <v>0.19449398803674001</v>
      </c>
      <c r="J14" s="47">
        <f>'Cost Build-up'!J6</f>
        <v>0.18420916050343827</v>
      </c>
      <c r="K14" s="47">
        <f>'Cost Build-up'!K6</f>
        <v>0.17778960388919285</v>
      </c>
      <c r="L14" s="48">
        <f>CHOOSE($L$2,L77,L78,L79)</f>
        <v>0.19</v>
      </c>
      <c r="M14" s="48">
        <f>CHOOSE($L$2,M77,M78,M79)</f>
        <v>0.2</v>
      </c>
      <c r="N14" s="48">
        <f>CHOOSE($L$2,N77,N78,N79)</f>
        <v>0.21</v>
      </c>
      <c r="O14" s="48">
        <f>CHOOSE($L$2,O77,O78,O79)</f>
        <v>0.22</v>
      </c>
      <c r="P14" s="48">
        <f>CHOOSE($L$2,P77,P78,P79)</f>
        <v>0.23</v>
      </c>
      <c r="Q14" s="35"/>
      <c r="X14" s="35"/>
      <c r="Y14" s="35"/>
      <c r="Z14" s="35"/>
    </row>
    <row r="15" spans="1:27" ht="4.95" customHeight="1" x14ac:dyDescent="0.3">
      <c r="Q15" s="35"/>
      <c r="X15" s="35"/>
      <c r="Y15" s="35"/>
      <c r="Z15" s="35"/>
    </row>
    <row r="16" spans="1:27" ht="16.95" customHeight="1" x14ac:dyDescent="0.3">
      <c r="A16" s="24" t="s">
        <v>100</v>
      </c>
      <c r="B16" s="25"/>
      <c r="C16" s="25"/>
      <c r="D16" s="25"/>
      <c r="E16" s="25"/>
      <c r="F16" s="25"/>
      <c r="G16" s="25"/>
      <c r="H16" s="25"/>
      <c r="I16" s="25"/>
      <c r="J16" s="25"/>
      <c r="K16" s="25"/>
      <c r="L16" s="25"/>
      <c r="M16" s="25"/>
      <c r="N16" s="25"/>
      <c r="O16" s="25"/>
      <c r="P16" s="25"/>
      <c r="Q16" s="35"/>
      <c r="X16" s="35"/>
      <c r="Y16" s="35"/>
      <c r="Z16" s="35"/>
      <c r="AA16" s="43" t="s">
        <v>101</v>
      </c>
    </row>
    <row r="17" spans="1:27" ht="14.1" customHeight="1" x14ac:dyDescent="0.3">
      <c r="C17" s="23" t="s">
        <v>102</v>
      </c>
      <c r="H17" s="47">
        <f>'Revenue Build-up'!H12/'Revenue Build-up'!G12-1</f>
        <v>0.40157762638938688</v>
      </c>
      <c r="I17" s="47">
        <f>'Revenue Build-up'!I12/'Revenue Build-up'!H12-1</f>
        <v>0.54387311332821686</v>
      </c>
      <c r="J17" s="47">
        <f>'Revenue Build-up'!J12/'Revenue Build-up'!I12-1</f>
        <v>0.67125103562551791</v>
      </c>
      <c r="K17" s="47">
        <f>'Revenue Build-up'!K12/'Revenue Build-up'!J12-1</f>
        <v>0.26621058893515759</v>
      </c>
      <c r="L17" s="48">
        <f>CHOOSE($L$2,L80,L81,L82)</f>
        <v>0.3</v>
      </c>
      <c r="M17" s="48">
        <f>CHOOSE($L$2,M80,M81,M82)</f>
        <v>0.25</v>
      </c>
      <c r="N17" s="48">
        <f>CHOOSE($L$2,N80,N81,N82)</f>
        <v>0.2</v>
      </c>
      <c r="O17" s="48">
        <f>CHOOSE($L$2,O80,O81,O82)</f>
        <v>0.18</v>
      </c>
      <c r="P17" s="48">
        <f>CHOOSE($L$2,P80,P81,P82)</f>
        <v>0.15</v>
      </c>
      <c r="Q17" s="35"/>
      <c r="X17" s="35"/>
      <c r="Y17" s="35"/>
      <c r="Z17" s="35"/>
    </row>
    <row r="18" spans="1:27" ht="14.1" customHeight="1" x14ac:dyDescent="0.3">
      <c r="C18" s="23" t="s">
        <v>103</v>
      </c>
      <c r="G18" s="47">
        <f>'Cost Build-up'!G11</f>
        <v>-4.6253137325206195E-2</v>
      </c>
      <c r="H18" s="47">
        <f>'Cost Build-up'!H11</f>
        <v>7.3676132003069883E-2</v>
      </c>
      <c r="I18" s="47">
        <f>'Cost Build-up'!I11</f>
        <v>0.18906379453189726</v>
      </c>
      <c r="J18" s="47">
        <f>'Cost Build-up'!J11</f>
        <v>0.26174895895300421</v>
      </c>
      <c r="K18" s="47">
        <f>'Cost Build-up'!K11</f>
        <v>0.29770573956620472</v>
      </c>
      <c r="L18" s="48">
        <f>CHOOSE($L$2,L83,L84,L85)</f>
        <v>0.3</v>
      </c>
      <c r="M18" s="48">
        <f>CHOOSE($L$2,M83,M84,M85)</f>
        <v>0.31</v>
      </c>
      <c r="N18" s="48">
        <f>CHOOSE($L$2,N83,N84,N85)</f>
        <v>0.32</v>
      </c>
      <c r="O18" s="48">
        <f>CHOOSE($L$2,O83,O84,O85)</f>
        <v>0.32</v>
      </c>
      <c r="P18" s="48">
        <f>CHOOSE($L$2,P83,P84,P85)</f>
        <v>0.32</v>
      </c>
      <c r="Q18" s="35"/>
      <c r="X18" s="35"/>
      <c r="Y18" s="35"/>
      <c r="Z18" s="35"/>
    </row>
    <row r="19" spans="1:27" ht="10.95" customHeight="1" x14ac:dyDescent="0.3">
      <c r="Q19" s="35"/>
      <c r="X19" s="35"/>
      <c r="Y19" s="35"/>
      <c r="Z19" s="35"/>
    </row>
    <row r="20" spans="1:27" ht="16.95" customHeight="1" x14ac:dyDescent="0.3">
      <c r="A20" s="24" t="s">
        <v>104</v>
      </c>
      <c r="B20" s="25"/>
      <c r="C20" s="25"/>
      <c r="D20" s="25"/>
      <c r="E20" s="25"/>
      <c r="F20" s="25"/>
      <c r="G20" s="25"/>
      <c r="H20" s="25"/>
      <c r="I20" s="25"/>
      <c r="J20" s="25"/>
      <c r="K20" s="25"/>
      <c r="L20" s="25"/>
      <c r="M20" s="25"/>
      <c r="N20" s="25"/>
      <c r="O20" s="25"/>
      <c r="P20" s="25"/>
      <c r="Q20" s="35"/>
      <c r="X20" s="35"/>
      <c r="Y20" s="35"/>
      <c r="Z20" s="35"/>
      <c r="AA20" s="43" t="s">
        <v>105</v>
      </c>
    </row>
    <row r="21" spans="1:27" ht="14.1" customHeight="1" x14ac:dyDescent="0.3">
      <c r="C21" s="23" t="s">
        <v>106</v>
      </c>
      <c r="H21" s="47">
        <f>'Revenue Build-up'!H15/'Revenue Build-up'!G15-1</f>
        <v>0.60205155181483438</v>
      </c>
      <c r="I21" s="47">
        <f>'Revenue Build-up'!I15/'Revenue Build-up'!H15-1</f>
        <v>0.36578558528977179</v>
      </c>
      <c r="J21" s="47">
        <f>'Revenue Build-up'!J15/'Revenue Build-up'!I15-1</f>
        <v>0.26625796369755972</v>
      </c>
      <c r="K21" s="47">
        <f>'Revenue Build-up'!K15/'Revenue Build-up'!J15-1</f>
        <v>0.18948167837478636</v>
      </c>
      <c r="L21" s="48">
        <f>CHOOSE($L$2,L86,L87,L88)</f>
        <v>0.15</v>
      </c>
      <c r="M21" s="48">
        <f>CHOOSE($L$2,M86,M87,M88)</f>
        <v>0.14000000000000001</v>
      </c>
      <c r="N21" s="48">
        <f>CHOOSE($L$2,N86,N87,N88)</f>
        <v>0.13</v>
      </c>
      <c r="O21" s="48">
        <f>CHOOSE($L$2,O86,O87,O88)</f>
        <v>0.12</v>
      </c>
      <c r="P21" s="48">
        <f>CHOOSE($L$2,P86,P87,P88)</f>
        <v>0.11</v>
      </c>
      <c r="Q21" s="35"/>
      <c r="X21" s="35"/>
      <c r="Y21" s="35"/>
      <c r="Z21" s="35"/>
    </row>
    <row r="22" spans="1:27" ht="14.1" customHeight="1" x14ac:dyDescent="0.3">
      <c r="C22" s="23" t="s">
        <v>107</v>
      </c>
      <c r="G22" s="47">
        <f>'Cost Build-up'!G16</f>
        <v>-2.7354024197790539E-2</v>
      </c>
      <c r="H22" s="47">
        <f>'Cost Build-up'!H16</f>
        <v>3.464127401083561E-2</v>
      </c>
      <c r="I22" s="47">
        <f>'Cost Build-up'!I16</f>
        <v>5.8781103498016574E-2</v>
      </c>
      <c r="J22" s="47">
        <f>'Cost Build-up'!J16</f>
        <v>5.8192519460793624E-2</v>
      </c>
      <c r="K22" s="47">
        <f>'Cost Build-up'!K16</f>
        <v>7.4301675977653581E-2</v>
      </c>
      <c r="L22" s="48">
        <f>CHOOSE($L$2,L89,L90,L91)</f>
        <v>0.12</v>
      </c>
      <c r="M22" s="48">
        <f>CHOOSE($L$2,M89,M90,M91)</f>
        <v>0.13</v>
      </c>
      <c r="N22" s="48">
        <f>CHOOSE($L$2,N89,N90,N91)</f>
        <v>0.14000000000000001</v>
      </c>
      <c r="O22" s="48">
        <f>CHOOSE($L$2,O89,O90,O91)</f>
        <v>0.15</v>
      </c>
      <c r="P22" s="48">
        <f>CHOOSE($L$2,P89,P90,P91)</f>
        <v>0.15</v>
      </c>
      <c r="Q22" s="35"/>
      <c r="X22" s="35"/>
      <c r="Y22" s="35"/>
      <c r="Z22" s="35"/>
    </row>
    <row r="23" spans="1:27" ht="10.95" customHeight="1" x14ac:dyDescent="0.3">
      <c r="Q23" s="35"/>
      <c r="X23" s="35"/>
      <c r="Y23" s="35"/>
      <c r="Z23" s="35"/>
    </row>
    <row r="24" spans="1:27" ht="16.95" customHeight="1" x14ac:dyDescent="0.3">
      <c r="A24" s="24" t="s">
        <v>108</v>
      </c>
      <c r="B24" s="25"/>
      <c r="C24" s="25"/>
      <c r="D24" s="25"/>
      <c r="E24" s="25"/>
      <c r="F24" s="25"/>
      <c r="G24" s="25"/>
      <c r="H24" s="25"/>
      <c r="I24" s="25"/>
      <c r="J24" s="25"/>
      <c r="K24" s="25"/>
      <c r="L24" s="25"/>
      <c r="M24" s="25"/>
      <c r="N24" s="25"/>
      <c r="O24" s="25"/>
      <c r="P24" s="25"/>
      <c r="Q24" s="35"/>
      <c r="X24" s="35"/>
      <c r="Y24" s="35"/>
      <c r="Z24" s="35"/>
      <c r="AA24" s="43" t="s">
        <v>109</v>
      </c>
    </row>
    <row r="25" spans="1:27" ht="14.1" customHeight="1" x14ac:dyDescent="0.3">
      <c r="C25" s="23" t="s">
        <v>110</v>
      </c>
      <c r="G25" s="47">
        <f>'Cost Build-up'!G24/'Revenue Build-up'!G18</f>
        <v>4.81764301506791E-2</v>
      </c>
      <c r="H25" s="47">
        <f>'Cost Build-up'!H24/'Revenue Build-up'!H18</f>
        <v>3.7747661486337195E-2</v>
      </c>
      <c r="I25" s="47">
        <f>'Cost Build-up'!I24/'Revenue Build-up'!I18</f>
        <v>4.1013505833238574E-2</v>
      </c>
      <c r="J25" s="47">
        <f>'Cost Build-up'!J24/'Revenue Build-up'!J18</f>
        <v>4.6473538745009729E-2</v>
      </c>
      <c r="K25" s="47">
        <f>'Cost Build-up'!K24/'Revenue Build-up'!K18</f>
        <v>6.7607327027112515E-2</v>
      </c>
      <c r="L25" s="48">
        <f>CHOOSE($L$2,L92,L93,L94)</f>
        <v>7.0000000000000007E-2</v>
      </c>
      <c r="M25" s="48">
        <f>CHOOSE($L$2,M92,M93,M94)</f>
        <v>7.0000000000000007E-2</v>
      </c>
      <c r="N25" s="48">
        <f>CHOOSE($L$2,N92,N93,N94)</f>
        <v>6.5000000000000002E-2</v>
      </c>
      <c r="O25" s="48">
        <f>CHOOSE($L$2,O92,O93,O94)</f>
        <v>0.06</v>
      </c>
      <c r="P25" s="48">
        <f>CHOOSE($L$2,P92,P93,P94)</f>
        <v>0.06</v>
      </c>
      <c r="Q25" s="35"/>
      <c r="X25" s="35"/>
      <c r="Y25" s="35"/>
      <c r="Z25" s="35"/>
    </row>
    <row r="26" spans="1:27" ht="14.1" customHeight="1" x14ac:dyDescent="0.3">
      <c r="C26" s="23" t="s">
        <v>111</v>
      </c>
      <c r="G26" s="47">
        <f>'Cost Build-up'!G26/'Revenue Build-up'!G18</f>
        <v>8.3923229845976666E-2</v>
      </c>
      <c r="H26" s="47">
        <f>'Cost Build-up'!H26/'Revenue Build-up'!H18</f>
        <v>4.8439763325231408E-2</v>
      </c>
      <c r="I26" s="47">
        <f>'Cost Build-up'!I26/'Revenue Build-up'!I18</f>
        <v>4.9600611740878091E-2</v>
      </c>
      <c r="J26" s="47">
        <f>'Cost Build-up'!J26/'Revenue Build-up'!J18</f>
        <v>5.2717780734978001E-2</v>
      </c>
      <c r="K26" s="47">
        <f>'Cost Build-up'!K26/'Revenue Build-up'!K18</f>
        <v>6.1522562139475025E-2</v>
      </c>
      <c r="L26" s="48">
        <f>CHOOSE($L$2,L95,L96,L97)</f>
        <v>0.06</v>
      </c>
      <c r="M26" s="48">
        <f>CHOOSE($L$2,M95,M96,M97)</f>
        <v>5.8000000000000003E-2</v>
      </c>
      <c r="N26" s="48">
        <f>CHOOSE($L$2,N95,N96,N97)</f>
        <v>5.5E-2</v>
      </c>
      <c r="O26" s="48">
        <f>CHOOSE($L$2,O95,O96,O97)</f>
        <v>5.2999999999999999E-2</v>
      </c>
      <c r="P26" s="48">
        <f>CHOOSE($L$2,P95,P96,P97)</f>
        <v>0.05</v>
      </c>
      <c r="Q26" s="35"/>
      <c r="X26" s="35"/>
      <c r="Y26" s="35"/>
      <c r="Z26" s="35"/>
    </row>
    <row r="27" spans="1:27" ht="10.95" customHeight="1" x14ac:dyDescent="0.3">
      <c r="Q27" s="35"/>
      <c r="X27" s="35"/>
      <c r="Y27" s="35"/>
      <c r="Z27" s="35"/>
    </row>
    <row r="28" spans="1:27" ht="16.95" customHeight="1" x14ac:dyDescent="0.3">
      <c r="A28" s="24" t="s">
        <v>112</v>
      </c>
      <c r="B28" s="25"/>
      <c r="C28" s="25"/>
      <c r="D28" s="25"/>
      <c r="E28" s="25"/>
      <c r="F28" s="25"/>
      <c r="G28" s="25"/>
      <c r="H28" s="25"/>
      <c r="I28" s="25"/>
      <c r="J28" s="25"/>
      <c r="K28" s="25"/>
      <c r="L28" s="25"/>
      <c r="M28" s="25"/>
      <c r="N28" s="25"/>
      <c r="O28" s="25"/>
      <c r="P28" s="25"/>
      <c r="Q28" s="35"/>
      <c r="X28" s="35"/>
      <c r="Y28" s="35"/>
      <c r="Z28" s="35"/>
      <c r="AA28" s="43" t="s">
        <v>113</v>
      </c>
    </row>
    <row r="29" spans="1:27" ht="14.1" customHeight="1" x14ac:dyDescent="0.3">
      <c r="C29" s="23" t="s">
        <v>114</v>
      </c>
      <c r="G29" s="50">
        <f>BS!G6/IS!G8*365</f>
        <v>12.9729855266336</v>
      </c>
      <c r="H29" s="50">
        <f>BS!H6/IS!H8*365</f>
        <v>13.226780584812554</v>
      </c>
      <c r="I29" s="50">
        <f>BS!I6/IS!I8*365</f>
        <v>13.231169851094817</v>
      </c>
      <c r="J29" s="50">
        <f>BS!J6/IS!J8*365</f>
        <v>16.50701197666087</v>
      </c>
      <c r="K29" s="50">
        <f>BS!K6/IS!K8*365</f>
        <v>17.613548883756732</v>
      </c>
      <c r="L29" s="51">
        <v>18</v>
      </c>
      <c r="M29" s="51">
        <v>18</v>
      </c>
      <c r="N29" s="51">
        <v>17</v>
      </c>
      <c r="O29" s="51">
        <v>17</v>
      </c>
      <c r="P29" s="51">
        <v>17</v>
      </c>
      <c r="Q29" s="35"/>
      <c r="X29" s="35"/>
      <c r="Y29" s="35"/>
      <c r="Z29" s="35"/>
    </row>
    <row r="30" spans="1:27" ht="14.1" customHeight="1" x14ac:dyDescent="0.3">
      <c r="C30" s="23" t="s">
        <v>115</v>
      </c>
      <c r="G30" s="50">
        <f>BS!G7/IS!G14*365</f>
        <v>52.249173235199038</v>
      </c>
      <c r="H30" s="50">
        <f>BS!H7/IS!H14*365</f>
        <v>77.319127522315156</v>
      </c>
      <c r="I30" s="50">
        <f>BS!I7/IS!I14*365</f>
        <v>62.865647870767134</v>
      </c>
      <c r="J30" s="50">
        <f>BS!J7/IS!J14*365</f>
        <v>54.663571784646059</v>
      </c>
      <c r="K30" s="50">
        <f>BS!K7/IS!K14*365</f>
        <v>58.187385023091871</v>
      </c>
      <c r="L30" s="51">
        <v>55</v>
      </c>
      <c r="M30" s="51">
        <v>53</v>
      </c>
      <c r="N30" s="51">
        <v>50</v>
      </c>
      <c r="O30" s="51">
        <v>48</v>
      </c>
      <c r="P30" s="51">
        <v>48</v>
      </c>
      <c r="Q30" s="35"/>
      <c r="X30" s="35"/>
      <c r="Y30" s="35"/>
      <c r="Z30" s="35"/>
    </row>
    <row r="31" spans="1:27" ht="14.1" customHeight="1" x14ac:dyDescent="0.3">
      <c r="C31" s="23" t="s">
        <v>116</v>
      </c>
      <c r="G31" s="50">
        <f>BS!G17/IS!G14*365</f>
        <v>90.984533903573123</v>
      </c>
      <c r="H31" s="50">
        <f>BS!H17/IS!H14*365</f>
        <v>91.868781864079594</v>
      </c>
      <c r="I31" s="50">
        <f>BS!I17/IS!I14*365</f>
        <v>66.579639250186446</v>
      </c>
      <c r="J31" s="50">
        <f>BS!J17/IS!J14*365</f>
        <v>56.742397806580264</v>
      </c>
      <c r="K31" s="50">
        <f>BS!K17/IS!K14*365</f>
        <v>62.784338697850337</v>
      </c>
      <c r="L31" s="51">
        <v>62</v>
      </c>
      <c r="M31" s="51">
        <v>62</v>
      </c>
      <c r="N31" s="51">
        <v>60</v>
      </c>
      <c r="O31" s="51">
        <v>60</v>
      </c>
      <c r="P31" s="51">
        <v>60</v>
      </c>
      <c r="Q31" s="35"/>
      <c r="X31" s="35"/>
      <c r="Y31" s="35"/>
      <c r="Z31" s="35"/>
    </row>
    <row r="32" spans="1:27" ht="14.1" customHeight="1" x14ac:dyDescent="0.3">
      <c r="C32" s="23" t="s">
        <v>117</v>
      </c>
      <c r="G32" s="47">
        <f>BS!G8/'Revenue Build-up'!G18</f>
        <v>3.444624045482416E-2</v>
      </c>
      <c r="H32" s="47">
        <f>BS!H8/'Revenue Build-up'!H18</f>
        <v>0.10892195133927478</v>
      </c>
      <c r="I32" s="47">
        <f>BS!I8/'Revenue Build-up'!I18</f>
        <v>0.16620338317505901</v>
      </c>
      <c r="J32" s="47">
        <f>BS!J8/'Revenue Build-up'!J18</f>
        <v>0.26395741631692093</v>
      </c>
      <c r="K32" s="47">
        <f>BS!K8/'Revenue Build-up'!K18</f>
        <v>0.37079101943539278</v>
      </c>
      <c r="L32" s="52">
        <v>0.38</v>
      </c>
      <c r="M32" s="52">
        <v>0.39</v>
      </c>
      <c r="N32" s="52">
        <v>0.4</v>
      </c>
      <c r="O32" s="52">
        <v>0.41</v>
      </c>
      <c r="P32" s="52">
        <v>0.42</v>
      </c>
      <c r="Q32" s="35"/>
      <c r="X32" s="35"/>
      <c r="Y32" s="35"/>
      <c r="Z32" s="35"/>
    </row>
    <row r="33" spans="1:27" ht="14.1" customHeight="1" x14ac:dyDescent="0.3">
      <c r="C33" s="23" t="s">
        <v>118</v>
      </c>
      <c r="G33" s="47">
        <f>BS!G18/'Revenue Build-up'!G18</f>
        <v>0.1234416513386471</v>
      </c>
      <c r="H33" s="47">
        <f>BS!H18/'Revenue Build-up'!H18</f>
        <v>0.10072180894159241</v>
      </c>
      <c r="I33" s="47">
        <f>BS!I18/'Revenue Build-up'!I18</f>
        <v>9.3827823876494396E-2</v>
      </c>
      <c r="J33" s="47">
        <f>BS!J18/'Revenue Build-up'!J18</f>
        <v>0.10976558501381924</v>
      </c>
      <c r="K33" s="47">
        <f>BS!K18/'Revenue Build-up'!K18</f>
        <v>0.14003395657354969</v>
      </c>
      <c r="L33" s="52">
        <v>0.13</v>
      </c>
      <c r="M33" s="52">
        <v>0.13</v>
      </c>
      <c r="N33" s="52">
        <v>0.125</v>
      </c>
      <c r="O33" s="52">
        <v>0.125</v>
      </c>
      <c r="P33" s="52">
        <v>0.12</v>
      </c>
      <c r="Q33" s="35"/>
      <c r="X33" s="35"/>
      <c r="Y33" s="35"/>
      <c r="Z33" s="35"/>
    </row>
    <row r="34" spans="1:27" ht="14.1" customHeight="1" x14ac:dyDescent="0.3">
      <c r="C34" s="23" t="s">
        <v>119</v>
      </c>
      <c r="G34" s="47">
        <f>BS!G19/'Revenue Build-up'!G18</f>
        <v>2.6884417442357367E-2</v>
      </c>
      <c r="H34" s="47">
        <f>BS!H19/'Revenue Build-up'!H18</f>
        <v>2.1445581989148317E-2</v>
      </c>
      <c r="I34" s="47">
        <f>BS!I19/'Revenue Build-up'!I18</f>
        <v>2.9595031672057261E-2</v>
      </c>
      <c r="J34" s="47">
        <f>BS!J19/'Revenue Build-up'!J18</f>
        <v>3.242911249872045E-2</v>
      </c>
      <c r="K34" s="47">
        <f>BS!K19/'Revenue Build-up'!K18</f>
        <v>3.6107859575859186E-2</v>
      </c>
      <c r="L34" s="52">
        <v>3.5000000000000003E-2</v>
      </c>
      <c r="M34" s="52">
        <v>3.5000000000000003E-2</v>
      </c>
      <c r="N34" s="52">
        <v>3.5000000000000003E-2</v>
      </c>
      <c r="O34" s="52">
        <v>3.5000000000000003E-2</v>
      </c>
      <c r="P34" s="52">
        <v>3.5000000000000003E-2</v>
      </c>
      <c r="Q34" s="35"/>
      <c r="X34" s="35"/>
      <c r="Y34" s="35"/>
      <c r="Z34" s="35"/>
    </row>
    <row r="35" spans="1:27" ht="14.1" customHeight="1" x14ac:dyDescent="0.3">
      <c r="C35" s="23" t="s">
        <v>120</v>
      </c>
      <c r="G35" s="47">
        <f>BS!G12/'Revenue Build-up'!G18</f>
        <v>3.7456106125634041E-2</v>
      </c>
      <c r="H35" s="47">
        <f>BS!H12/'Revenue Build-up'!H18</f>
        <v>3.146252240308365E-2</v>
      </c>
      <c r="I35" s="47">
        <f>BS!I12/'Revenue Build-up'!I18</f>
        <v>4.3193866057681336E-2</v>
      </c>
      <c r="J35" s="47">
        <f>BS!J12/'Revenue Build-up'!J18</f>
        <v>5.2820145357764366E-2</v>
      </c>
      <c r="K35" s="47">
        <f>BS!K12/'Revenue Build-up'!K18</f>
        <v>6.3557847448511479E-2</v>
      </c>
      <c r="L35" s="52">
        <v>0.06</v>
      </c>
      <c r="M35" s="52">
        <v>0.06</v>
      </c>
      <c r="N35" s="52">
        <v>0.06</v>
      </c>
      <c r="O35" s="52">
        <v>0.06</v>
      </c>
      <c r="P35" s="52">
        <v>0.06</v>
      </c>
      <c r="Q35" s="35"/>
      <c r="X35" s="35"/>
      <c r="Y35" s="35"/>
      <c r="Z35" s="35"/>
    </row>
    <row r="36" spans="1:27" ht="14.1" customHeight="1" x14ac:dyDescent="0.3">
      <c r="C36" s="23" t="s">
        <v>121</v>
      </c>
      <c r="G36" s="47">
        <f>BS!G24/'Revenue Build-up'!G18</f>
        <v>3.812496516359179E-2</v>
      </c>
      <c r="H36" s="47">
        <f>BS!H24/'Revenue Build-up'!H18</f>
        <v>3.4420957010630727E-2</v>
      </c>
      <c r="I36" s="47">
        <f>BS!I24/'Revenue Build-up'!I18</f>
        <v>3.3594080993665558E-2</v>
      </c>
      <c r="J36" s="47">
        <f>BS!J24/'Revenue Build-up'!J18</f>
        <v>3.3954345378237286E-2</v>
      </c>
      <c r="K36" s="47">
        <f>BS!K24/'Revenue Build-up'!K18</f>
        <v>3.82907821611988E-2</v>
      </c>
      <c r="L36" s="52">
        <v>3.5000000000000003E-2</v>
      </c>
      <c r="M36" s="52">
        <v>3.5000000000000003E-2</v>
      </c>
      <c r="N36" s="52">
        <v>3.5000000000000003E-2</v>
      </c>
      <c r="O36" s="52">
        <v>3.5000000000000003E-2</v>
      </c>
      <c r="P36" s="52">
        <v>3.5000000000000003E-2</v>
      </c>
      <c r="Q36" s="35"/>
      <c r="X36" s="35"/>
      <c r="Y36" s="35"/>
      <c r="Z36" s="35"/>
    </row>
    <row r="37" spans="1:27" ht="14.1" customHeight="1" x14ac:dyDescent="0.3">
      <c r="C37" s="23" t="s">
        <v>122</v>
      </c>
      <c r="G37" s="47">
        <f>BS!G13/'Revenue Build-up'!G18</f>
        <v>0.26254575181613821</v>
      </c>
      <c r="H37" s="47">
        <f>BS!H13/'Revenue Build-up'!H18</f>
        <v>0.18794038938400731</v>
      </c>
      <c r="I37" s="47">
        <f>BS!I13/'Revenue Build-up'!I18</f>
        <v>0.23867194362063776</v>
      </c>
      <c r="J37" s="47">
        <f>BS!J13/'Revenue Build-up'!J18</f>
        <v>0.23251100419694956</v>
      </c>
      <c r="K37" s="47">
        <f>BS!K13/'Revenue Build-up'!K18</f>
        <v>0.23721092094023846</v>
      </c>
      <c r="L37" s="52">
        <v>0.22</v>
      </c>
      <c r="M37" s="52">
        <v>0.21</v>
      </c>
      <c r="N37" s="52">
        <v>0.2</v>
      </c>
      <c r="O37" s="52">
        <v>0.2</v>
      </c>
      <c r="P37" s="52">
        <v>0.19</v>
      </c>
      <c r="Q37" s="35"/>
      <c r="X37" s="35"/>
      <c r="Y37" s="35"/>
      <c r="Z37" s="35"/>
    </row>
    <row r="38" spans="1:27" ht="14.1" customHeight="1" x14ac:dyDescent="0.3">
      <c r="C38" s="23" t="s">
        <v>123</v>
      </c>
      <c r="G38" s="47">
        <f>BS!G25/'Revenue Build-up'!G18</f>
        <v>7.6435724504394065E-2</v>
      </c>
      <c r="H38" s="47">
        <f>BS!H25/'Revenue Build-up'!H18</f>
        <v>7.0450025778890785E-2</v>
      </c>
      <c r="I38" s="47">
        <f>BS!I25/'Revenue Build-up'!I18</f>
        <v>8.6749403242639911E-2</v>
      </c>
      <c r="J38" s="47">
        <f>BS!J25/'Revenue Build-up'!J18</f>
        <v>0.10807656873784421</v>
      </c>
      <c r="K38" s="47">
        <f>BS!K25/'Revenue Build-up'!K18</f>
        <v>0.13561538380419075</v>
      </c>
      <c r="L38" s="52">
        <v>0.13</v>
      </c>
      <c r="M38" s="52">
        <v>0.125</v>
      </c>
      <c r="N38" s="52">
        <v>0.12</v>
      </c>
      <c r="O38" s="52">
        <v>0.12</v>
      </c>
      <c r="P38" s="52">
        <v>0.115</v>
      </c>
      <c r="Q38" s="35"/>
      <c r="X38" s="35"/>
      <c r="Y38" s="35"/>
      <c r="Z38" s="35"/>
    </row>
    <row r="39" spans="1:27" ht="4.95" customHeight="1" x14ac:dyDescent="0.3">
      <c r="Q39" s="35"/>
      <c r="X39" s="35"/>
      <c r="Y39" s="35"/>
      <c r="Z39" s="35"/>
    </row>
    <row r="40" spans="1:27" ht="16.95" customHeight="1" x14ac:dyDescent="0.3">
      <c r="A40" s="24" t="s">
        <v>124</v>
      </c>
      <c r="B40" s="25"/>
      <c r="C40" s="25"/>
      <c r="D40" s="25"/>
      <c r="E40" s="25"/>
      <c r="F40" s="25"/>
      <c r="G40" s="25"/>
      <c r="H40" s="25"/>
      <c r="I40" s="25"/>
      <c r="J40" s="25"/>
      <c r="K40" s="25"/>
      <c r="L40" s="25"/>
      <c r="M40" s="25"/>
      <c r="N40" s="25"/>
      <c r="O40" s="25"/>
      <c r="P40" s="25"/>
      <c r="Q40" s="35"/>
      <c r="X40" s="35"/>
      <c r="Y40" s="35"/>
      <c r="Z40" s="35"/>
      <c r="AA40" s="43" t="s">
        <v>125</v>
      </c>
    </row>
    <row r="41" spans="1:27" ht="14.1" customHeight="1" x14ac:dyDescent="0.3">
      <c r="C41" s="23" t="s">
        <v>126</v>
      </c>
      <c r="G41" s="47">
        <f>'Asset Schedule'!G6/'Revenue Build-up'!G18</f>
        <v>0.12043178566783722</v>
      </c>
      <c r="H41" s="47">
        <f>'Asset Schedule'!H6/'Revenue Build-up'!H18</f>
        <v>8.7869190542829795E-2</v>
      </c>
      <c r="I41" s="47">
        <f>'Asset Schedule'!I6/'Revenue Build-up'!I18</f>
        <v>9.1957467475432111E-2</v>
      </c>
      <c r="J41" s="47">
        <f>'Asset Schedule'!J6/'Revenue Build-up'!J18</f>
        <v>0.11610195516429524</v>
      </c>
      <c r="K41" s="47">
        <f>'Asset Schedule'!K6/'Revenue Build-up'!K18</f>
        <v>8.9921646788361939E-2</v>
      </c>
      <c r="L41" s="48">
        <f>CHOOSE($L$2,L98,L99,L100)</f>
        <v>0.1</v>
      </c>
      <c r="M41" s="48">
        <f>CHOOSE($L$2,M98,M99,M100)</f>
        <v>9.5000000000000001E-2</v>
      </c>
      <c r="N41" s="48">
        <f>CHOOSE($L$2,N98,N99,N100)</f>
        <v>0.09</v>
      </c>
      <c r="O41" s="48">
        <f>CHOOSE($L$2,O98,O99,O100)</f>
        <v>8.5000000000000006E-2</v>
      </c>
      <c r="P41" s="48">
        <f>CHOOSE($L$2,P98,P99,P100)</f>
        <v>0.08</v>
      </c>
      <c r="Q41" s="35"/>
      <c r="X41" s="35"/>
      <c r="Y41" s="35"/>
      <c r="Z41" s="35"/>
    </row>
    <row r="42" spans="1:27" ht="14.1" customHeight="1" x14ac:dyDescent="0.3">
      <c r="C42" s="23" t="s">
        <v>127</v>
      </c>
      <c r="G42" s="47">
        <f>'Asset Schedule'!G11</f>
        <v>0.22836745900996314</v>
      </c>
      <c r="H42" s="47">
        <f>'Asset Schedule'!H11</f>
        <v>0.19842194450328321</v>
      </c>
      <c r="I42" s="47">
        <f>'Asset Schedule'!I11</f>
        <v>0.1981909291659589</v>
      </c>
      <c r="J42" s="47">
        <f>'Asset Schedule'!J11</f>
        <v>0.18058873002523129</v>
      </c>
      <c r="K42" s="47">
        <f>'Asset Schedule'!K11</f>
        <v>0.17155932581761357</v>
      </c>
      <c r="L42" s="52">
        <v>0.16500000000000001</v>
      </c>
      <c r="M42" s="52">
        <v>0.16</v>
      </c>
      <c r="N42" s="52">
        <v>0.155</v>
      </c>
      <c r="O42" s="52">
        <v>0.15</v>
      </c>
      <c r="P42" s="52">
        <v>0.15</v>
      </c>
      <c r="Q42" s="35"/>
      <c r="X42" s="35"/>
      <c r="Y42" s="35"/>
      <c r="Z42" s="35"/>
    </row>
    <row r="43" spans="1:27" ht="10.95" customHeight="1" x14ac:dyDescent="0.3">
      <c r="Q43" s="35"/>
      <c r="X43" s="35"/>
      <c r="Y43" s="35"/>
      <c r="Z43" s="35"/>
    </row>
    <row r="44" spans="1:27" ht="16.95" customHeight="1" x14ac:dyDescent="0.3">
      <c r="A44" s="24" t="s">
        <v>128</v>
      </c>
      <c r="B44" s="25"/>
      <c r="C44" s="25"/>
      <c r="D44" s="25"/>
      <c r="E44" s="25"/>
      <c r="F44" s="25"/>
      <c r="G44" s="25"/>
      <c r="H44" s="25"/>
      <c r="I44" s="25"/>
      <c r="J44" s="25"/>
      <c r="K44" s="25"/>
      <c r="L44" s="25"/>
      <c r="M44" s="25"/>
      <c r="N44" s="25"/>
      <c r="O44" s="25"/>
      <c r="P44" s="25"/>
      <c r="Q44" s="35"/>
      <c r="X44" s="35"/>
      <c r="Y44" s="35"/>
      <c r="Z44" s="35"/>
      <c r="AA44" s="43" t="s">
        <v>129</v>
      </c>
    </row>
    <row r="45" spans="1:27" ht="14.1" customHeight="1" x14ac:dyDescent="0.3">
      <c r="C45" s="23" t="s">
        <v>130</v>
      </c>
      <c r="G45" s="47">
        <f>'Loans &amp; Other Income'!G11/'Loans &amp; Other Income'!G5</f>
        <v>3.17419575633128E-2</v>
      </c>
      <c r="H45" s="47">
        <f>'Loans &amp; Other Income'!H11/'Loans &amp; Other Income'!H5</f>
        <v>2.7948492829967808E-2</v>
      </c>
      <c r="I45" s="47">
        <f>'Loans &amp; Other Income'!I11/'Loans &amp; Other Income'!I5</f>
        <v>5.033881897386254E-2</v>
      </c>
      <c r="J45" s="47">
        <f>'Loans &amp; Other Income'!J11/'Loans &amp; Other Income'!J5</f>
        <v>6.6921606118546847E-2</v>
      </c>
      <c r="K45" s="47">
        <f>'Loans &amp; Other Income'!K11/'Loans &amp; Other Income'!K5</f>
        <v>4.1154267624497747E-2</v>
      </c>
      <c r="L45" s="52">
        <v>0.05</v>
      </c>
      <c r="M45" s="52">
        <v>0.05</v>
      </c>
      <c r="N45" s="52">
        <v>0.05</v>
      </c>
      <c r="O45" s="52">
        <v>0.05</v>
      </c>
      <c r="P45" s="52">
        <v>0.05</v>
      </c>
      <c r="Q45" s="35"/>
      <c r="X45" s="35"/>
      <c r="Y45" s="35"/>
      <c r="Z45" s="35"/>
    </row>
    <row r="46" spans="1:27" ht="14.1" customHeight="1" x14ac:dyDescent="0.3">
      <c r="C46" s="23" t="s">
        <v>131</v>
      </c>
      <c r="G46" s="47">
        <f>'Loans &amp; Other Income'!G16/'Loans &amp; Other Income'!G14</f>
        <v>3.0303030303030303E-3</v>
      </c>
      <c r="H46" s="47">
        <f>'Loans &amp; Other Income'!H16/'Loans &amp; Other Income'!H14</f>
        <v>1.755889916935174E-2</v>
      </c>
      <c r="I46" s="47">
        <f>'Loans &amp; Other Income'!I16/'Loans &amp; Other Income'!I14</f>
        <v>6.5296621849254236E-2</v>
      </c>
      <c r="J46" s="47">
        <f>'Loans &amp; Other Income'!J16/'Loans &amp; Other Income'!J14</f>
        <v>9.6444048314226885E-2</v>
      </c>
      <c r="K46" s="47">
        <f>'Loans &amp; Other Income'!K16/'Loans &amp; Other Income'!K14</f>
        <v>0.10290334435869165</v>
      </c>
      <c r="L46" s="52">
        <v>4.4999999999999998E-2</v>
      </c>
      <c r="M46" s="52">
        <v>4.4999999999999998E-2</v>
      </c>
      <c r="N46" s="52">
        <v>4.4999999999999998E-2</v>
      </c>
      <c r="O46" s="52">
        <v>0.04</v>
      </c>
      <c r="P46" s="52">
        <v>0.04</v>
      </c>
      <c r="Q46" s="35"/>
      <c r="X46" s="35"/>
      <c r="Y46" s="35"/>
      <c r="Z46" s="35"/>
    </row>
    <row r="47" spans="1:27" ht="4.95" customHeight="1" x14ac:dyDescent="0.3">
      <c r="Q47" s="35"/>
      <c r="X47" s="35"/>
      <c r="Y47" s="35"/>
      <c r="Z47" s="35"/>
    </row>
    <row r="48" spans="1:27" ht="16.95" customHeight="1" x14ac:dyDescent="0.3">
      <c r="A48" s="24" t="s">
        <v>132</v>
      </c>
      <c r="B48" s="25"/>
      <c r="C48" s="25"/>
      <c r="D48" s="25"/>
      <c r="E48" s="25"/>
      <c r="F48" s="25"/>
      <c r="G48" s="25"/>
      <c r="H48" s="25"/>
      <c r="I48" s="25"/>
      <c r="J48" s="25"/>
      <c r="K48" s="25"/>
      <c r="L48" s="25"/>
      <c r="M48" s="25"/>
      <c r="N48" s="25"/>
      <c r="O48" s="25"/>
      <c r="P48" s="25"/>
      <c r="Q48" s="35"/>
      <c r="X48" s="35"/>
      <c r="Y48" s="35"/>
      <c r="Z48" s="35"/>
    </row>
    <row r="49" spans="1:27" ht="14.1" customHeight="1" x14ac:dyDescent="0.3">
      <c r="C49" s="23" t="s">
        <v>133</v>
      </c>
      <c r="G49" s="47">
        <f>'Tax Schedule'!G7</f>
        <v>0.11020022071575003</v>
      </c>
      <c r="H49" s="47">
        <f>'Tax Schedule'!H7</f>
        <v>8.2513302718857151E-2</v>
      </c>
      <c r="I49" s="47">
        <f>'Tax Schedule'!I7</f>
        <v>-0.50145392559911328</v>
      </c>
      <c r="J49" s="47">
        <f>'Tax Schedule'!J7</f>
        <v>0.20433815350389353</v>
      </c>
      <c r="K49" s="47">
        <f>'Tax Schedule'!K7</f>
        <v>0.26960970064418194</v>
      </c>
      <c r="L49" s="52">
        <v>0.24</v>
      </c>
      <c r="M49" s="52">
        <v>0.24</v>
      </c>
      <c r="N49" s="52">
        <v>0.24</v>
      </c>
      <c r="O49" s="52">
        <v>0.24</v>
      </c>
      <c r="P49" s="52">
        <v>0.24</v>
      </c>
      <c r="Q49" s="35"/>
      <c r="X49" s="35"/>
      <c r="Y49" s="35"/>
      <c r="Z49" s="35"/>
    </row>
    <row r="50" spans="1:27" ht="4.95" customHeight="1" x14ac:dyDescent="0.3">
      <c r="C50" s="2"/>
      <c r="G50" s="3"/>
      <c r="H50" s="3"/>
      <c r="I50" s="3"/>
      <c r="J50" s="3"/>
      <c r="K50" s="3"/>
      <c r="L50" s="14"/>
      <c r="M50" s="14"/>
      <c r="N50" s="14"/>
      <c r="O50" s="14"/>
      <c r="P50" s="14"/>
      <c r="Q50" s="35"/>
      <c r="R50" s="35"/>
      <c r="S50" s="35"/>
      <c r="T50" s="35"/>
      <c r="U50" s="35"/>
      <c r="V50" s="35"/>
      <c r="W50" s="35"/>
      <c r="X50" s="35"/>
      <c r="Y50" s="35"/>
      <c r="Z50" s="35"/>
    </row>
    <row r="51" spans="1:27" ht="16.95" customHeight="1" x14ac:dyDescent="0.3">
      <c r="A51" s="24" t="s">
        <v>134</v>
      </c>
      <c r="B51" s="25"/>
      <c r="C51" s="25"/>
      <c r="D51" s="25"/>
      <c r="E51" s="25"/>
      <c r="F51" s="25"/>
      <c r="G51" s="25"/>
      <c r="H51" s="25"/>
      <c r="I51" s="25"/>
      <c r="J51" s="25"/>
      <c r="K51" s="25"/>
      <c r="L51" s="25"/>
      <c r="M51" s="25"/>
      <c r="N51" s="25"/>
      <c r="O51" s="25"/>
      <c r="P51" s="25"/>
      <c r="Q51" s="35"/>
      <c r="X51" s="35"/>
      <c r="Y51" s="35"/>
      <c r="Z51" s="35"/>
    </row>
    <row r="52" spans="1:27" ht="14.1" customHeight="1" x14ac:dyDescent="0.3">
      <c r="C52" s="23" t="s">
        <v>135</v>
      </c>
      <c r="G52" s="47">
        <f>'Equity Schedule'!G6/'Revenue Build-up'!G18</f>
        <v>4.7284618100068766E-2</v>
      </c>
      <c r="H52" s="47">
        <f>'Equity Schedule'!H6/'Revenue Build-up'!H18</f>
        <v>2.9142422233679511E-2</v>
      </c>
      <c r="I52" s="47">
        <f>'Equity Schedule'!I6/'Revenue Build-up'!I18</f>
        <v>2.8055346015934172E-2</v>
      </c>
      <c r="J52" s="47">
        <f>'Equity Schedule'!J6/'Revenue Build-up'!J18</f>
        <v>3.56126522673764E-2</v>
      </c>
      <c r="K52" s="47">
        <f>'Equity Schedule'!K6/'Revenue Build-up'!K18</f>
        <v>4.6389741318400866E-2</v>
      </c>
      <c r="L52" s="52">
        <v>0.04</v>
      </c>
      <c r="M52" s="52">
        <v>0.04</v>
      </c>
      <c r="N52" s="52">
        <v>3.7999999999999999E-2</v>
      </c>
      <c r="O52" s="52">
        <v>3.7999999999999999E-2</v>
      </c>
      <c r="P52" s="52">
        <v>3.5000000000000003E-2</v>
      </c>
      <c r="Q52" s="35"/>
      <c r="X52" s="35"/>
      <c r="Y52" s="35"/>
      <c r="Z52" s="35"/>
    </row>
    <row r="53" spans="1:27" ht="14.1" customHeight="1" x14ac:dyDescent="0.3">
      <c r="C53" s="23" t="s">
        <v>136</v>
      </c>
      <c r="G53" s="53">
        <v>0</v>
      </c>
      <c r="H53" s="53">
        <v>0</v>
      </c>
      <c r="I53" s="53">
        <v>0</v>
      </c>
      <c r="J53" s="53">
        <v>0</v>
      </c>
      <c r="K53" s="53">
        <v>0</v>
      </c>
      <c r="L53" s="52">
        <v>0</v>
      </c>
      <c r="M53" s="52">
        <v>0</v>
      </c>
      <c r="N53" s="52">
        <v>0</v>
      </c>
      <c r="O53" s="52">
        <v>0</v>
      </c>
      <c r="P53" s="52">
        <v>0</v>
      </c>
      <c r="Q53" s="35"/>
      <c r="X53" s="35"/>
      <c r="Y53" s="35"/>
      <c r="Z53" s="35"/>
    </row>
    <row r="54" spans="1:27" ht="4.95" customHeight="1" x14ac:dyDescent="0.3">
      <c r="Q54" s="35"/>
      <c r="X54" s="35"/>
      <c r="Y54" s="35"/>
      <c r="Z54" s="35"/>
    </row>
    <row r="55" spans="1:27" ht="16.95" customHeight="1" x14ac:dyDescent="0.3">
      <c r="A55" s="24" t="s">
        <v>137</v>
      </c>
      <c r="B55" s="25"/>
      <c r="C55" s="25"/>
      <c r="D55" s="25"/>
      <c r="E55" s="25"/>
      <c r="F55" s="25"/>
      <c r="G55" s="25"/>
      <c r="H55" s="25"/>
      <c r="I55" s="25"/>
      <c r="J55" s="25"/>
      <c r="K55" s="25"/>
      <c r="L55" s="25"/>
      <c r="M55" s="25"/>
      <c r="N55" s="25"/>
      <c r="O55" s="25"/>
      <c r="P55" s="25"/>
      <c r="Q55" s="35"/>
      <c r="X55" s="35"/>
      <c r="Y55" s="35"/>
      <c r="Z55" s="35"/>
      <c r="AA55" s="43" t="s">
        <v>138</v>
      </c>
    </row>
    <row r="56" spans="1:27" ht="14.1" customHeight="1" x14ac:dyDescent="0.3">
      <c r="C56" s="23" t="s">
        <v>139</v>
      </c>
      <c r="E56" s="45" t="s">
        <v>140</v>
      </c>
      <c r="G56" s="54">
        <v>376.37</v>
      </c>
      <c r="Q56" s="35"/>
      <c r="X56" s="35"/>
      <c r="Y56" s="35"/>
      <c r="Z56" s="35"/>
    </row>
    <row r="57" spans="1:27" ht="14.1" customHeight="1" x14ac:dyDescent="0.3">
      <c r="C57" s="23" t="s">
        <v>858</v>
      </c>
      <c r="E57" s="45" t="s">
        <v>141</v>
      </c>
      <c r="G57" s="55">
        <v>3950</v>
      </c>
      <c r="Q57" s="35"/>
      <c r="X57" s="35"/>
      <c r="Y57" s="35"/>
      <c r="Z57" s="35"/>
    </row>
    <row r="58" spans="1:27" ht="14.1" customHeight="1" x14ac:dyDescent="0.3">
      <c r="C58" s="23" t="s">
        <v>142</v>
      </c>
      <c r="G58" s="56">
        <v>4.7699999999999999E-2</v>
      </c>
      <c r="Q58" s="35"/>
      <c r="X58" s="35"/>
      <c r="Y58" s="35"/>
      <c r="Z58" s="35"/>
    </row>
    <row r="59" spans="1:27" ht="14.1" customHeight="1" x14ac:dyDescent="0.3">
      <c r="C59" s="23" t="s">
        <v>143</v>
      </c>
      <c r="G59" s="57">
        <v>1.85</v>
      </c>
      <c r="Q59" s="35"/>
      <c r="X59" s="35"/>
      <c r="Y59" s="35"/>
      <c r="Z59" s="35"/>
    </row>
    <row r="60" spans="1:27" ht="14.1" customHeight="1" x14ac:dyDescent="0.3">
      <c r="C60" s="23" t="s">
        <v>144</v>
      </c>
      <c r="G60" s="56">
        <v>4.1399999999999999E-2</v>
      </c>
      <c r="Q60" s="35"/>
      <c r="X60" s="35"/>
      <c r="Y60" s="35"/>
      <c r="Z60" s="35"/>
    </row>
    <row r="61" spans="1:27" ht="14.1" customHeight="1" x14ac:dyDescent="0.3">
      <c r="C61" s="23" t="s">
        <v>145</v>
      </c>
      <c r="G61" s="56">
        <v>0.05</v>
      </c>
      <c r="Q61" s="35"/>
      <c r="X61" s="35"/>
      <c r="Y61" s="35"/>
      <c r="Z61" s="35"/>
    </row>
    <row r="62" spans="1:27" ht="14.1" customHeight="1" x14ac:dyDescent="0.3">
      <c r="C62" s="23" t="s">
        <v>146</v>
      </c>
      <c r="G62" s="56">
        <v>3.7999999999999999E-2</v>
      </c>
      <c r="Q62" s="35"/>
      <c r="X62" s="35"/>
      <c r="Y62" s="35"/>
      <c r="Z62" s="35"/>
    </row>
    <row r="63" spans="1:27" ht="14.1" customHeight="1" x14ac:dyDescent="0.3">
      <c r="C63" s="23" t="s">
        <v>147</v>
      </c>
      <c r="E63" s="45" t="s">
        <v>148</v>
      </c>
      <c r="G63" s="58">
        <v>46268</v>
      </c>
      <c r="Q63" s="35"/>
      <c r="X63" s="35"/>
      <c r="Y63" s="35"/>
      <c r="Z63" s="35"/>
    </row>
    <row r="64" spans="1:27" ht="4.95" customHeight="1" x14ac:dyDescent="0.3">
      <c r="Q64" s="35"/>
      <c r="X64" s="35"/>
      <c r="Y64" s="35"/>
      <c r="Z64" s="35"/>
    </row>
    <row r="65" spans="1:26" ht="16.95" customHeight="1" x14ac:dyDescent="0.3">
      <c r="A65" s="24" t="s">
        <v>149</v>
      </c>
      <c r="B65" s="25"/>
      <c r="C65" s="25"/>
      <c r="D65" s="25"/>
      <c r="E65" s="25"/>
      <c r="F65" s="25"/>
      <c r="G65" s="25"/>
      <c r="H65" s="25"/>
      <c r="I65" s="25"/>
      <c r="J65" s="25"/>
      <c r="K65" s="25"/>
      <c r="L65" s="25"/>
      <c r="M65" s="25"/>
      <c r="N65" s="25"/>
      <c r="O65" s="25"/>
      <c r="P65" s="25"/>
      <c r="Q65" s="35"/>
      <c r="X65" s="35"/>
      <c r="Y65" s="35"/>
      <c r="Z65" s="35"/>
    </row>
    <row r="66" spans="1:26" ht="25.95" customHeight="1" x14ac:dyDescent="0.3">
      <c r="A66" s="296" t="s">
        <v>150</v>
      </c>
      <c r="B66" s="297"/>
      <c r="C66" s="297"/>
      <c r="D66" s="297"/>
      <c r="E66" s="297"/>
      <c r="F66" s="297"/>
      <c r="G66" s="297"/>
      <c r="H66" s="297"/>
      <c r="I66" s="297"/>
      <c r="J66" s="297"/>
      <c r="K66" s="297"/>
      <c r="L66" s="297"/>
      <c r="M66" s="297"/>
      <c r="N66" s="297"/>
      <c r="O66" s="297"/>
      <c r="P66" s="297"/>
    </row>
    <row r="67" spans="1:26" ht="15" customHeight="1" x14ac:dyDescent="0.3">
      <c r="E67" s="59" t="s">
        <v>58</v>
      </c>
      <c r="L67" s="60" t="str">
        <f>L3</f>
        <v>FY26E</v>
      </c>
      <c r="M67" s="60" t="str">
        <f>M3</f>
        <v>FY27E</v>
      </c>
      <c r="N67" s="60" t="str">
        <f>N3</f>
        <v>FY28E</v>
      </c>
      <c r="O67" s="60" t="str">
        <f>O3</f>
        <v>FY29E</v>
      </c>
      <c r="P67" s="60" t="str">
        <f>P3</f>
        <v>FY30E</v>
      </c>
    </row>
    <row r="68" spans="1:26" ht="14.1" customHeight="1" x14ac:dyDescent="0.3">
      <c r="C68" s="61" t="s">
        <v>151</v>
      </c>
      <c r="D68" s="62"/>
      <c r="E68" s="63" t="s">
        <v>66</v>
      </c>
      <c r="F68" s="62"/>
      <c r="G68" s="62"/>
      <c r="H68" s="62"/>
      <c r="I68" s="62"/>
      <c r="J68" s="62"/>
      <c r="K68" s="62"/>
      <c r="L68" s="64">
        <v>0</v>
      </c>
      <c r="M68" s="64">
        <v>0.03</v>
      </c>
      <c r="N68" s="64">
        <v>0.05</v>
      </c>
      <c r="O68" s="64">
        <v>0.05</v>
      </c>
      <c r="P68" s="64">
        <v>0.04</v>
      </c>
    </row>
    <row r="69" spans="1:26" ht="14.1" customHeight="1" x14ac:dyDescent="0.3">
      <c r="E69" s="65" t="s">
        <v>46</v>
      </c>
      <c r="L69" s="66">
        <v>0.06</v>
      </c>
      <c r="M69" s="66">
        <v>0.1</v>
      </c>
      <c r="N69" s="66">
        <v>0.12</v>
      </c>
      <c r="O69" s="66">
        <v>0.1</v>
      </c>
      <c r="P69" s="66">
        <v>0.08</v>
      </c>
    </row>
    <row r="70" spans="1:26" ht="14.1" customHeight="1" x14ac:dyDescent="0.3">
      <c r="E70" s="67" t="s">
        <v>68</v>
      </c>
      <c r="L70" s="66">
        <v>0.1</v>
      </c>
      <c r="M70" s="66">
        <v>0.15</v>
      </c>
      <c r="N70" s="66">
        <v>0.17</v>
      </c>
      <c r="O70" s="66">
        <v>0.14000000000000001</v>
      </c>
      <c r="P70" s="66">
        <v>0.12</v>
      </c>
    </row>
    <row r="71" spans="1:26" ht="14.1" customHeight="1" x14ac:dyDescent="0.3">
      <c r="C71" s="61" t="s">
        <v>152</v>
      </c>
      <c r="D71" s="62"/>
      <c r="E71" s="63" t="s">
        <v>66</v>
      </c>
      <c r="F71" s="62"/>
      <c r="G71" s="62"/>
      <c r="H71" s="62"/>
      <c r="I71" s="62"/>
      <c r="J71" s="62"/>
      <c r="K71" s="62"/>
      <c r="L71" s="64">
        <v>-0.06</v>
      </c>
      <c r="M71" s="64">
        <v>-0.04</v>
      </c>
      <c r="N71" s="64">
        <v>-0.02</v>
      </c>
      <c r="O71" s="64">
        <v>0</v>
      </c>
      <c r="P71" s="64">
        <v>0</v>
      </c>
    </row>
    <row r="72" spans="1:26" ht="14.1" customHeight="1" x14ac:dyDescent="0.3">
      <c r="E72" s="65" t="s">
        <v>46</v>
      </c>
      <c r="L72" s="66">
        <v>-0.03</v>
      </c>
      <c r="M72" s="66">
        <v>-0.02</v>
      </c>
      <c r="N72" s="66">
        <v>0.01</v>
      </c>
      <c r="O72" s="66">
        <v>0.01</v>
      </c>
      <c r="P72" s="66">
        <v>0.02</v>
      </c>
    </row>
    <row r="73" spans="1:26" ht="14.1" customHeight="1" x14ac:dyDescent="0.3">
      <c r="E73" s="67" t="s">
        <v>68</v>
      </c>
      <c r="L73" s="66">
        <v>-0.01</v>
      </c>
      <c r="M73" s="66">
        <v>0</v>
      </c>
      <c r="N73" s="66">
        <v>0.02</v>
      </c>
      <c r="O73" s="66">
        <v>0.02</v>
      </c>
      <c r="P73" s="66">
        <v>0.03</v>
      </c>
    </row>
    <row r="74" spans="1:26" ht="14.1" customHeight="1" x14ac:dyDescent="0.3">
      <c r="C74" s="61" t="s">
        <v>98</v>
      </c>
      <c r="D74" s="62"/>
      <c r="E74" s="63" t="s">
        <v>66</v>
      </c>
      <c r="F74" s="62"/>
      <c r="G74" s="62"/>
      <c r="H74" s="62"/>
      <c r="I74" s="62"/>
      <c r="J74" s="62"/>
      <c r="K74" s="62"/>
      <c r="L74" s="64">
        <v>-0.4</v>
      </c>
      <c r="M74" s="64">
        <v>-0.35</v>
      </c>
      <c r="N74" s="64">
        <v>-0.25</v>
      </c>
      <c r="O74" s="64">
        <v>-0.2</v>
      </c>
      <c r="P74" s="64">
        <v>-0.2</v>
      </c>
    </row>
    <row r="75" spans="1:26" ht="14.1" customHeight="1" x14ac:dyDescent="0.3">
      <c r="E75" s="65" t="s">
        <v>46</v>
      </c>
      <c r="L75" s="66">
        <v>-0.3</v>
      </c>
      <c r="M75" s="66">
        <v>-0.2</v>
      </c>
      <c r="N75" s="66">
        <v>-0.1</v>
      </c>
      <c r="O75" s="66">
        <v>-0.05</v>
      </c>
      <c r="P75" s="66">
        <v>-0.05</v>
      </c>
    </row>
    <row r="76" spans="1:26" ht="14.1" customHeight="1" x14ac:dyDescent="0.3">
      <c r="E76" s="67" t="s">
        <v>68</v>
      </c>
      <c r="L76" s="66">
        <v>-0.25</v>
      </c>
      <c r="M76" s="66">
        <v>-0.15</v>
      </c>
      <c r="N76" s="66">
        <v>-0.05</v>
      </c>
      <c r="O76" s="66">
        <v>0</v>
      </c>
      <c r="P76" s="66">
        <v>0</v>
      </c>
    </row>
    <row r="77" spans="1:26" ht="14.1" customHeight="1" x14ac:dyDescent="0.3">
      <c r="C77" s="61" t="s">
        <v>99</v>
      </c>
      <c r="D77" s="62"/>
      <c r="E77" s="63" t="s">
        <v>66</v>
      </c>
      <c r="F77" s="62"/>
      <c r="G77" s="62"/>
      <c r="H77" s="62"/>
      <c r="I77" s="62"/>
      <c r="J77" s="62"/>
      <c r="K77" s="62"/>
      <c r="L77" s="64">
        <v>0.16500000000000001</v>
      </c>
      <c r="M77" s="64">
        <v>0.17</v>
      </c>
      <c r="N77" s="64">
        <v>0.17499999999999999</v>
      </c>
      <c r="O77" s="64">
        <v>0.18</v>
      </c>
      <c r="P77" s="64">
        <v>0.185</v>
      </c>
    </row>
    <row r="78" spans="1:26" ht="14.1" customHeight="1" x14ac:dyDescent="0.3">
      <c r="E78" s="65" t="s">
        <v>46</v>
      </c>
      <c r="L78" s="66">
        <v>0.19</v>
      </c>
      <c r="M78" s="66">
        <v>0.2</v>
      </c>
      <c r="N78" s="66">
        <v>0.21</v>
      </c>
      <c r="O78" s="66">
        <v>0.22</v>
      </c>
      <c r="P78" s="66">
        <v>0.23</v>
      </c>
    </row>
    <row r="79" spans="1:26" ht="14.1" customHeight="1" x14ac:dyDescent="0.3">
      <c r="E79" s="67" t="s">
        <v>68</v>
      </c>
      <c r="L79" s="66">
        <v>0.21</v>
      </c>
      <c r="M79" s="66">
        <v>0.23</v>
      </c>
      <c r="N79" s="66">
        <v>0.245</v>
      </c>
      <c r="O79" s="66">
        <v>0.255</v>
      </c>
      <c r="P79" s="66">
        <v>0.26</v>
      </c>
    </row>
    <row r="80" spans="1:26" ht="14.1" customHeight="1" x14ac:dyDescent="0.3">
      <c r="C80" s="61" t="s">
        <v>102</v>
      </c>
      <c r="D80" s="62"/>
      <c r="E80" s="63" t="s">
        <v>66</v>
      </c>
      <c r="F80" s="62"/>
      <c r="G80" s="62"/>
      <c r="H80" s="62"/>
      <c r="I80" s="62"/>
      <c r="J80" s="62"/>
      <c r="K80" s="62"/>
      <c r="L80" s="64">
        <v>0.2</v>
      </c>
      <c r="M80" s="64">
        <v>0.15</v>
      </c>
      <c r="N80" s="64">
        <v>0.12</v>
      </c>
      <c r="O80" s="64">
        <v>0.1</v>
      </c>
      <c r="P80" s="64">
        <v>0.08</v>
      </c>
    </row>
    <row r="81" spans="3:16" ht="14.1" customHeight="1" x14ac:dyDescent="0.3">
      <c r="E81" s="65" t="s">
        <v>46</v>
      </c>
      <c r="L81" s="66">
        <v>0.3</v>
      </c>
      <c r="M81" s="66">
        <v>0.25</v>
      </c>
      <c r="N81" s="66">
        <v>0.2</v>
      </c>
      <c r="O81" s="66">
        <v>0.18</v>
      </c>
      <c r="P81" s="66">
        <v>0.15</v>
      </c>
    </row>
    <row r="82" spans="3:16" ht="14.1" customHeight="1" x14ac:dyDescent="0.3">
      <c r="E82" s="67" t="s">
        <v>68</v>
      </c>
      <c r="L82" s="66">
        <v>0.38</v>
      </c>
      <c r="M82" s="66">
        <v>0.32</v>
      </c>
      <c r="N82" s="66">
        <v>0.27</v>
      </c>
      <c r="O82" s="66">
        <v>0.23</v>
      </c>
      <c r="P82" s="66">
        <v>0.2</v>
      </c>
    </row>
    <row r="83" spans="3:16" ht="14.1" customHeight="1" x14ac:dyDescent="0.3">
      <c r="C83" s="61" t="s">
        <v>103</v>
      </c>
      <c r="D83" s="62"/>
      <c r="E83" s="63" t="s">
        <v>66</v>
      </c>
      <c r="F83" s="62"/>
      <c r="G83" s="62"/>
      <c r="H83" s="62"/>
      <c r="I83" s="62"/>
      <c r="J83" s="62"/>
      <c r="K83" s="62"/>
      <c r="L83" s="64">
        <v>0.26</v>
      </c>
      <c r="M83" s="64">
        <v>0.26</v>
      </c>
      <c r="N83" s="64">
        <v>0.27</v>
      </c>
      <c r="O83" s="64">
        <v>0.27</v>
      </c>
      <c r="P83" s="64">
        <v>0.27</v>
      </c>
    </row>
    <row r="84" spans="3:16" ht="14.1" customHeight="1" x14ac:dyDescent="0.3">
      <c r="E84" s="65" t="s">
        <v>46</v>
      </c>
      <c r="L84" s="66">
        <v>0.3</v>
      </c>
      <c r="M84" s="66">
        <v>0.31</v>
      </c>
      <c r="N84" s="66">
        <v>0.32</v>
      </c>
      <c r="O84" s="66">
        <v>0.32</v>
      </c>
      <c r="P84" s="66">
        <v>0.32</v>
      </c>
    </row>
    <row r="85" spans="3:16" ht="14.1" customHeight="1" x14ac:dyDescent="0.3">
      <c r="E85" s="67" t="s">
        <v>68</v>
      </c>
      <c r="L85" s="66">
        <v>0.32</v>
      </c>
      <c r="M85" s="66">
        <v>0.33</v>
      </c>
      <c r="N85" s="66">
        <v>0.34</v>
      </c>
      <c r="O85" s="66">
        <v>0.35</v>
      </c>
      <c r="P85" s="66">
        <v>0.35</v>
      </c>
    </row>
    <row r="86" spans="3:16" ht="14.1" customHeight="1" x14ac:dyDescent="0.3">
      <c r="C86" s="61" t="s">
        <v>106</v>
      </c>
      <c r="D86" s="62"/>
      <c r="E86" s="63" t="s">
        <v>66</v>
      </c>
      <c r="F86" s="62"/>
      <c r="G86" s="62"/>
      <c r="H86" s="62"/>
      <c r="I86" s="62"/>
      <c r="J86" s="62"/>
      <c r="K86" s="62"/>
      <c r="L86" s="64">
        <v>0.1</v>
      </c>
      <c r="M86" s="64">
        <v>0.09</v>
      </c>
      <c r="N86" s="64">
        <v>0.08</v>
      </c>
      <c r="O86" s="64">
        <v>0.08</v>
      </c>
      <c r="P86" s="64">
        <v>7.0000000000000007E-2</v>
      </c>
    </row>
    <row r="87" spans="3:16" ht="14.1" customHeight="1" x14ac:dyDescent="0.3">
      <c r="E87" s="65" t="s">
        <v>46</v>
      </c>
      <c r="L87" s="66">
        <v>0.15</v>
      </c>
      <c r="M87" s="66">
        <v>0.14000000000000001</v>
      </c>
      <c r="N87" s="66">
        <v>0.13</v>
      </c>
      <c r="O87" s="66">
        <v>0.12</v>
      </c>
      <c r="P87" s="66">
        <v>0.11</v>
      </c>
    </row>
    <row r="88" spans="3:16" ht="14.1" customHeight="1" x14ac:dyDescent="0.3">
      <c r="E88" s="67" t="s">
        <v>68</v>
      </c>
      <c r="L88" s="66">
        <v>0.18</v>
      </c>
      <c r="M88" s="66">
        <v>0.17</v>
      </c>
      <c r="N88" s="66">
        <v>0.16</v>
      </c>
      <c r="O88" s="66">
        <v>0.15</v>
      </c>
      <c r="P88" s="66">
        <v>0.14000000000000001</v>
      </c>
    </row>
    <row r="89" spans="3:16" ht="14.1" customHeight="1" x14ac:dyDescent="0.3">
      <c r="C89" s="61" t="s">
        <v>107</v>
      </c>
      <c r="D89" s="62"/>
      <c r="E89" s="63" t="s">
        <v>66</v>
      </c>
      <c r="F89" s="62"/>
      <c r="G89" s="62"/>
      <c r="H89" s="62"/>
      <c r="I89" s="62"/>
      <c r="J89" s="62"/>
      <c r="K89" s="62"/>
      <c r="L89" s="64">
        <v>0.09</v>
      </c>
      <c r="M89" s="64">
        <v>9.5000000000000001E-2</v>
      </c>
      <c r="N89" s="64">
        <v>0.1</v>
      </c>
      <c r="O89" s="64">
        <v>0.105</v>
      </c>
      <c r="P89" s="64">
        <v>0.11</v>
      </c>
    </row>
    <row r="90" spans="3:16" ht="14.1" customHeight="1" x14ac:dyDescent="0.3">
      <c r="E90" s="65" t="s">
        <v>46</v>
      </c>
      <c r="L90" s="66">
        <v>0.12</v>
      </c>
      <c r="M90" s="66">
        <v>0.13</v>
      </c>
      <c r="N90" s="66">
        <v>0.14000000000000001</v>
      </c>
      <c r="O90" s="66">
        <v>0.15</v>
      </c>
      <c r="P90" s="66">
        <v>0.15</v>
      </c>
    </row>
    <row r="91" spans="3:16" ht="14.1" customHeight="1" x14ac:dyDescent="0.3">
      <c r="E91" s="67" t="s">
        <v>68</v>
      </c>
      <c r="L91" s="66">
        <v>0.14000000000000001</v>
      </c>
      <c r="M91" s="66">
        <v>0.155</v>
      </c>
      <c r="N91" s="66">
        <v>0.17</v>
      </c>
      <c r="O91" s="66">
        <v>0.18</v>
      </c>
      <c r="P91" s="66">
        <v>0.19</v>
      </c>
    </row>
    <row r="92" spans="3:16" ht="14.1" customHeight="1" x14ac:dyDescent="0.3">
      <c r="C92" s="61" t="s">
        <v>110</v>
      </c>
      <c r="D92" s="62"/>
      <c r="E92" s="63" t="s">
        <v>66</v>
      </c>
      <c r="F92" s="62"/>
      <c r="G92" s="62"/>
      <c r="H92" s="62"/>
      <c r="I92" s="62"/>
      <c r="J92" s="62"/>
      <c r="K92" s="62"/>
      <c r="L92" s="64">
        <v>7.4999999999999997E-2</v>
      </c>
      <c r="M92" s="64">
        <v>7.4999999999999997E-2</v>
      </c>
      <c r="N92" s="64">
        <v>7.4999999999999997E-2</v>
      </c>
      <c r="O92" s="64">
        <v>7.1999999999999995E-2</v>
      </c>
      <c r="P92" s="64">
        <v>7.0000000000000007E-2</v>
      </c>
    </row>
    <row r="93" spans="3:16" ht="14.1" customHeight="1" x14ac:dyDescent="0.3">
      <c r="E93" s="65" t="s">
        <v>46</v>
      </c>
      <c r="L93" s="66">
        <v>7.0000000000000007E-2</v>
      </c>
      <c r="M93" s="66">
        <v>7.0000000000000007E-2</v>
      </c>
      <c r="N93" s="66">
        <v>6.5000000000000002E-2</v>
      </c>
      <c r="O93" s="66">
        <v>0.06</v>
      </c>
      <c r="P93" s="66">
        <v>0.06</v>
      </c>
    </row>
    <row r="94" spans="3:16" ht="14.1" customHeight="1" x14ac:dyDescent="0.3">
      <c r="E94" s="67" t="s">
        <v>68</v>
      </c>
      <c r="L94" s="66">
        <v>6.7000000000000004E-2</v>
      </c>
      <c r="M94" s="66">
        <v>6.4000000000000001E-2</v>
      </c>
      <c r="N94" s="66">
        <v>0.06</v>
      </c>
      <c r="O94" s="66">
        <v>5.7000000000000002E-2</v>
      </c>
      <c r="P94" s="66">
        <v>5.5E-2</v>
      </c>
    </row>
    <row r="95" spans="3:16" ht="14.1" customHeight="1" x14ac:dyDescent="0.3">
      <c r="C95" s="61" t="s">
        <v>111</v>
      </c>
      <c r="D95" s="62"/>
      <c r="E95" s="63" t="s">
        <v>66</v>
      </c>
      <c r="F95" s="62"/>
      <c r="G95" s="62"/>
      <c r="H95" s="62"/>
      <c r="I95" s="62"/>
      <c r="J95" s="62"/>
      <c r="K95" s="62"/>
      <c r="L95" s="64">
        <v>6.5000000000000002E-2</v>
      </c>
      <c r="M95" s="64">
        <v>6.4000000000000001E-2</v>
      </c>
      <c r="N95" s="64">
        <v>6.3E-2</v>
      </c>
      <c r="O95" s="64">
        <v>6.2E-2</v>
      </c>
      <c r="P95" s="64">
        <v>0.06</v>
      </c>
    </row>
    <row r="96" spans="3:16" ht="14.1" customHeight="1" x14ac:dyDescent="0.3">
      <c r="E96" s="65" t="s">
        <v>46</v>
      </c>
      <c r="L96" s="66">
        <v>0.06</v>
      </c>
      <c r="M96" s="66">
        <v>5.8000000000000003E-2</v>
      </c>
      <c r="N96" s="66">
        <v>5.5E-2</v>
      </c>
      <c r="O96" s="66">
        <v>5.2999999999999999E-2</v>
      </c>
      <c r="P96" s="66">
        <v>0.05</v>
      </c>
    </row>
    <row r="97" spans="1:16" ht="14.1" customHeight="1" x14ac:dyDescent="0.3">
      <c r="E97" s="67" t="s">
        <v>68</v>
      </c>
      <c r="L97" s="66">
        <v>5.6000000000000001E-2</v>
      </c>
      <c r="M97" s="66">
        <v>5.2999999999999999E-2</v>
      </c>
      <c r="N97" s="66">
        <v>0.05</v>
      </c>
      <c r="O97" s="66">
        <v>4.7E-2</v>
      </c>
      <c r="P97" s="66">
        <v>4.4999999999999998E-2</v>
      </c>
    </row>
    <row r="98" spans="1:16" ht="14.1" customHeight="1" x14ac:dyDescent="0.3">
      <c r="C98" s="61" t="s">
        <v>126</v>
      </c>
      <c r="D98" s="62"/>
      <c r="E98" s="63" t="s">
        <v>66</v>
      </c>
      <c r="F98" s="62"/>
      <c r="G98" s="62"/>
      <c r="H98" s="62"/>
      <c r="I98" s="62"/>
      <c r="J98" s="62"/>
      <c r="K98" s="62"/>
      <c r="L98" s="64">
        <v>0.11</v>
      </c>
      <c r="M98" s="64">
        <v>0.105</v>
      </c>
      <c r="N98" s="64">
        <v>0.1</v>
      </c>
      <c r="O98" s="64">
        <v>9.5000000000000001E-2</v>
      </c>
      <c r="P98" s="64">
        <v>0.09</v>
      </c>
    </row>
    <row r="99" spans="1:16" ht="14.1" customHeight="1" x14ac:dyDescent="0.3">
      <c r="E99" s="65" t="s">
        <v>46</v>
      </c>
      <c r="L99" s="66">
        <v>0.1</v>
      </c>
      <c r="M99" s="66">
        <v>9.5000000000000001E-2</v>
      </c>
      <c r="N99" s="66">
        <v>0.09</v>
      </c>
      <c r="O99" s="66">
        <v>8.5000000000000006E-2</v>
      </c>
      <c r="P99" s="66">
        <v>0.08</v>
      </c>
    </row>
    <row r="100" spans="1:16" ht="14.1" customHeight="1" x14ac:dyDescent="0.3">
      <c r="E100" s="67" t="s">
        <v>68</v>
      </c>
      <c r="L100" s="66">
        <v>9.5000000000000001E-2</v>
      </c>
      <c r="M100" s="66">
        <v>0.09</v>
      </c>
      <c r="N100" s="66">
        <v>8.5000000000000006E-2</v>
      </c>
      <c r="O100" s="66">
        <v>0.08</v>
      </c>
      <c r="P100" s="66">
        <v>7.4999999999999997E-2</v>
      </c>
    </row>
    <row r="102" spans="1:16" ht="25.95" customHeight="1" x14ac:dyDescent="0.3">
      <c r="A102" s="296" t="s">
        <v>153</v>
      </c>
      <c r="B102" s="297"/>
      <c r="C102" s="297"/>
      <c r="D102" s="297"/>
      <c r="E102" s="297"/>
      <c r="F102" s="297"/>
      <c r="G102" s="297"/>
      <c r="H102" s="297"/>
      <c r="I102" s="297"/>
      <c r="J102" s="297"/>
      <c r="K102" s="297"/>
      <c r="L102" s="297"/>
      <c r="M102" s="297"/>
      <c r="N102" s="297"/>
      <c r="O102" s="297"/>
      <c r="P102" s="297"/>
    </row>
  </sheetData>
  <mergeCells count="9">
    <mergeCell ref="A102:P102"/>
    <mergeCell ref="E1:F1"/>
    <mergeCell ref="Q3:W3"/>
    <mergeCell ref="A1:D1"/>
    <mergeCell ref="A66:P66"/>
    <mergeCell ref="Q4:W4"/>
    <mergeCell ref="N2:P2"/>
    <mergeCell ref="G1:P1"/>
    <mergeCell ref="A2:I2"/>
  </mergeCells>
  <conditionalFormatting sqref="C68:P100">
    <cfRule type="expression" dxfId="2" priority="1">
      <formula>$E68=$M$2</formula>
    </cfRule>
  </conditionalFormatting>
  <dataValidations count="1">
    <dataValidation type="list" errorTitle="Scenario selector" error="Enter 1 for Bear, 2 for Base or 3 for Bull." promptTitle="Scenario" prompt="1 = Bear   2 = Base   3 = Bull" sqref="L2" xr:uid="{00000000-0002-0000-0200-000000000000}">
      <formula1>"1,2,3"</formula1>
    </dataValidation>
  </dataValidations>
  <hyperlinks>
    <hyperlink ref="E1" location="Cover!A1" display="◄  Cover"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BAC0"/>
  </sheetPr>
  <dimension ref="A1:P26"/>
  <sheetViews>
    <sheetView showGridLines="0" workbookViewId="0">
      <pane xSplit="6" ySplit="3" topLeftCell="H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154</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88</v>
      </c>
      <c r="B4" s="25"/>
      <c r="C4" s="25"/>
      <c r="D4" s="25"/>
      <c r="E4" s="25"/>
      <c r="F4" s="25"/>
      <c r="G4" s="25"/>
      <c r="H4" s="25"/>
      <c r="I4" s="25"/>
      <c r="J4" s="25"/>
      <c r="K4" s="25"/>
      <c r="L4" s="25"/>
      <c r="M4" s="25"/>
      <c r="N4" s="25"/>
      <c r="O4" s="25"/>
      <c r="P4" s="25"/>
    </row>
    <row r="5" spans="1:16" ht="14.1" customHeight="1" x14ac:dyDescent="0.3">
      <c r="C5" s="23" t="s">
        <v>156</v>
      </c>
      <c r="E5" s="45" t="s">
        <v>91</v>
      </c>
      <c r="G5" s="68">
        <v>936172</v>
      </c>
      <c r="H5" s="68">
        <v>1313851</v>
      </c>
      <c r="I5" s="68">
        <v>1808581</v>
      </c>
      <c r="J5" s="68">
        <v>1789226</v>
      </c>
      <c r="K5" s="68">
        <v>1636129</v>
      </c>
      <c r="L5" s="46">
        <f>K5*(1+Assumptions!L7)</f>
        <v>1734296.74</v>
      </c>
      <c r="M5" s="46">
        <f>L5*(1+Assumptions!M7)</f>
        <v>1907726.4140000001</v>
      </c>
      <c r="N5" s="46">
        <f>M5*(1+Assumptions!N7)</f>
        <v>2136653.5836800002</v>
      </c>
      <c r="O5" s="46">
        <f>N5*(1+Assumptions!O7)</f>
        <v>2350318.9420480002</v>
      </c>
      <c r="P5" s="46">
        <f>O5*(1+Assumptions!P7)</f>
        <v>2538344.4574118406</v>
      </c>
    </row>
    <row r="6" spans="1:16" ht="14.1" customHeight="1" x14ac:dyDescent="0.3">
      <c r="C6" s="23" t="s">
        <v>157</v>
      </c>
      <c r="E6" s="45" t="s">
        <v>94</v>
      </c>
      <c r="G6" s="69">
        <v>48887.383942266999</v>
      </c>
      <c r="H6" s="69">
        <v>53039.499912851599</v>
      </c>
      <c r="I6" s="69">
        <v>44581.359640513801</v>
      </c>
      <c r="J6" s="69">
        <v>41530.248274952399</v>
      </c>
      <c r="K6" s="69">
        <v>41276.085198661</v>
      </c>
      <c r="L6" s="49">
        <f>K6*(1+Assumptions!L10)</f>
        <v>40037.802642701172</v>
      </c>
      <c r="M6" s="49">
        <f>L6*(1+Assumptions!M10)</f>
        <v>39237.046589847145</v>
      </c>
      <c r="N6" s="49">
        <f>M6*(1+Assumptions!N10)</f>
        <v>39629.417055745616</v>
      </c>
      <c r="O6" s="49">
        <f>N6*(1+Assumptions!O10)</f>
        <v>40025.711226303072</v>
      </c>
      <c r="P6" s="49">
        <f>O6*(1+Assumptions!P10)</f>
        <v>40826.225450829137</v>
      </c>
    </row>
    <row r="7" spans="1:16" ht="14.1" customHeight="1" x14ac:dyDescent="0.3">
      <c r="C7" s="23" t="s">
        <v>158</v>
      </c>
      <c r="E7" s="45" t="s">
        <v>97</v>
      </c>
      <c r="G7" s="70">
        <f t="shared" ref="G7:P7" si="0">G5*G6/1000000</f>
        <v>45766.999999999978</v>
      </c>
      <c r="H7" s="70">
        <f t="shared" si="0"/>
        <v>69685.999999999985</v>
      </c>
      <c r="I7" s="70">
        <f t="shared" si="0"/>
        <v>80629.000000000087</v>
      </c>
      <c r="J7" s="70">
        <f t="shared" si="0"/>
        <v>74306.999999999985</v>
      </c>
      <c r="K7" s="70">
        <f t="shared" si="0"/>
        <v>67533.000000000029</v>
      </c>
      <c r="L7" s="70">
        <f t="shared" si="0"/>
        <v>69437.430600000036</v>
      </c>
      <c r="M7" s="70">
        <f t="shared" si="0"/>
        <v>74853.550186800028</v>
      </c>
      <c r="N7" s="70">
        <f t="shared" si="0"/>
        <v>84674.335971308203</v>
      </c>
      <c r="O7" s="70">
        <f t="shared" si="0"/>
        <v>94073.187264123393</v>
      </c>
      <c r="P7" s="70">
        <f t="shared" si="0"/>
        <v>103631.02309015836</v>
      </c>
    </row>
    <row r="8" spans="1:16" ht="14.1" customHeight="1" x14ac:dyDescent="0.3">
      <c r="C8" s="23" t="s">
        <v>159</v>
      </c>
      <c r="E8" s="45" t="s">
        <v>97</v>
      </c>
      <c r="G8" s="68">
        <v>1465</v>
      </c>
      <c r="H8" s="68">
        <v>1776</v>
      </c>
      <c r="I8" s="68">
        <v>1790</v>
      </c>
      <c r="J8" s="68">
        <v>2763</v>
      </c>
      <c r="K8" s="68">
        <v>1993</v>
      </c>
      <c r="L8" s="46">
        <f>K8*(1+Assumptions!L12)</f>
        <v>1395.1</v>
      </c>
      <c r="M8" s="46">
        <f>L8*(1+Assumptions!M12)</f>
        <v>1116.08</v>
      </c>
      <c r="N8" s="46">
        <f>M8*(1+Assumptions!N12)</f>
        <v>1004.472</v>
      </c>
      <c r="O8" s="46">
        <f>N8*(1+Assumptions!O12)</f>
        <v>954.24839999999995</v>
      </c>
      <c r="P8" s="46">
        <f>O8*(1+Assumptions!P12)</f>
        <v>906.53597999999988</v>
      </c>
    </row>
    <row r="9" spans="1:16" ht="14.1" customHeight="1" x14ac:dyDescent="0.3">
      <c r="C9" s="71" t="s">
        <v>160</v>
      </c>
      <c r="D9" s="72"/>
      <c r="E9" s="72"/>
      <c r="F9" s="72"/>
      <c r="G9" s="73">
        <f t="shared" ref="G9:P9" si="1">SUM(G7:G8)</f>
        <v>47231.999999999978</v>
      </c>
      <c r="H9" s="73">
        <f t="shared" si="1"/>
        <v>71461.999999999985</v>
      </c>
      <c r="I9" s="73">
        <f t="shared" si="1"/>
        <v>82419.000000000087</v>
      </c>
      <c r="J9" s="73">
        <f t="shared" si="1"/>
        <v>77069.999999999985</v>
      </c>
      <c r="K9" s="73">
        <f t="shared" si="1"/>
        <v>69526.000000000029</v>
      </c>
      <c r="L9" s="73">
        <f t="shared" si="1"/>
        <v>70832.530600000042</v>
      </c>
      <c r="M9" s="73">
        <f t="shared" si="1"/>
        <v>75969.63018680003</v>
      </c>
      <c r="N9" s="73">
        <f t="shared" si="1"/>
        <v>85678.807971308197</v>
      </c>
      <c r="O9" s="73">
        <f t="shared" si="1"/>
        <v>95027.43566412339</v>
      </c>
      <c r="P9" s="73">
        <f t="shared" si="1"/>
        <v>104537.55907015836</v>
      </c>
    </row>
    <row r="10" spans="1:16" ht="4.95" customHeight="1" x14ac:dyDescent="0.3"/>
    <row r="11" spans="1:16" ht="16.95" customHeight="1" x14ac:dyDescent="0.3">
      <c r="A11" s="24" t="s">
        <v>100</v>
      </c>
      <c r="B11" s="25"/>
      <c r="C11" s="25"/>
      <c r="D11" s="25"/>
      <c r="E11" s="25"/>
      <c r="F11" s="25"/>
      <c r="G11" s="25"/>
      <c r="H11" s="25"/>
      <c r="I11" s="25"/>
      <c r="J11" s="25"/>
      <c r="K11" s="25"/>
      <c r="L11" s="25"/>
      <c r="M11" s="25"/>
      <c r="N11" s="25"/>
      <c r="O11" s="25"/>
      <c r="P11" s="25"/>
    </row>
    <row r="12" spans="1:16" ht="14.1" customHeight="1" x14ac:dyDescent="0.3">
      <c r="C12" s="23" t="s">
        <v>161</v>
      </c>
      <c r="E12" s="45" t="s">
        <v>97</v>
      </c>
      <c r="G12" s="68">
        <v>2789</v>
      </c>
      <c r="H12" s="68">
        <v>3909</v>
      </c>
      <c r="I12" s="68">
        <v>6035</v>
      </c>
      <c r="J12" s="68">
        <v>10086</v>
      </c>
      <c r="K12" s="68">
        <v>12771</v>
      </c>
      <c r="L12" s="46">
        <f>K12*(1+Assumptions!L17)</f>
        <v>16602.3</v>
      </c>
      <c r="M12" s="46">
        <f>L12*(1+Assumptions!M17)</f>
        <v>20752.875</v>
      </c>
      <c r="N12" s="46">
        <f>M12*(1+Assumptions!N17)</f>
        <v>24903.45</v>
      </c>
      <c r="O12" s="46">
        <f>N12*(1+Assumptions!O17)</f>
        <v>29386.071</v>
      </c>
      <c r="P12" s="46">
        <f>O12*(1+Assumptions!P17)</f>
        <v>33793.981649999994</v>
      </c>
    </row>
    <row r="13" spans="1:16" ht="4.95" customHeight="1" x14ac:dyDescent="0.3"/>
    <row r="14" spans="1:16" ht="16.95" customHeight="1" x14ac:dyDescent="0.3">
      <c r="A14" s="24" t="s">
        <v>104</v>
      </c>
      <c r="B14" s="25"/>
      <c r="C14" s="25"/>
      <c r="D14" s="25"/>
      <c r="E14" s="25"/>
      <c r="F14" s="25"/>
      <c r="G14" s="25"/>
      <c r="H14" s="25"/>
      <c r="I14" s="25"/>
      <c r="J14" s="25"/>
      <c r="K14" s="25"/>
      <c r="L14" s="25"/>
      <c r="M14" s="25"/>
      <c r="N14" s="25"/>
      <c r="O14" s="25"/>
      <c r="P14" s="25"/>
    </row>
    <row r="15" spans="1:16" ht="14.1" customHeight="1" x14ac:dyDescent="0.3">
      <c r="C15" s="23" t="s">
        <v>162</v>
      </c>
      <c r="E15" s="45" t="s">
        <v>97</v>
      </c>
      <c r="G15" s="68">
        <v>3802</v>
      </c>
      <c r="H15" s="68">
        <v>6091</v>
      </c>
      <c r="I15" s="68">
        <v>8319</v>
      </c>
      <c r="J15" s="68">
        <v>10534</v>
      </c>
      <c r="K15" s="68">
        <v>12530</v>
      </c>
      <c r="L15" s="46">
        <f>K15*(1+Assumptions!L21)</f>
        <v>14409.499999999998</v>
      </c>
      <c r="M15" s="46">
        <f>L15*(1+Assumptions!M21)</f>
        <v>16426.829999999998</v>
      </c>
      <c r="N15" s="46">
        <f>M15*(1+Assumptions!N21)</f>
        <v>18562.317899999995</v>
      </c>
      <c r="O15" s="46">
        <f>N15*(1+Assumptions!O21)</f>
        <v>20789.796047999997</v>
      </c>
      <c r="P15" s="46">
        <f>O15*(1+Assumptions!P21)</f>
        <v>23076.67361328</v>
      </c>
    </row>
    <row r="16" spans="1:16" ht="4.95" customHeight="1" x14ac:dyDescent="0.3"/>
    <row r="17" spans="1:16" ht="16.95" customHeight="1" x14ac:dyDescent="0.3">
      <c r="A17" s="24" t="s">
        <v>163</v>
      </c>
      <c r="B17" s="25"/>
      <c r="C17" s="25"/>
      <c r="D17" s="25"/>
      <c r="E17" s="25"/>
      <c r="F17" s="25"/>
      <c r="G17" s="25"/>
      <c r="H17" s="25"/>
      <c r="I17" s="25"/>
      <c r="J17" s="25"/>
      <c r="K17" s="25"/>
      <c r="L17" s="25"/>
      <c r="M17" s="25"/>
      <c r="N17" s="25"/>
      <c r="O17" s="25"/>
      <c r="P17" s="25"/>
    </row>
    <row r="18" spans="1:16" ht="14.1" customHeight="1" x14ac:dyDescent="0.3">
      <c r="C18" s="74" t="s">
        <v>163</v>
      </c>
      <c r="D18" s="75"/>
      <c r="E18" s="76" t="s">
        <v>97</v>
      </c>
      <c r="F18" s="75"/>
      <c r="G18" s="77">
        <f t="shared" ref="G18:P18" si="2">G9+G12+G15</f>
        <v>53822.999999999978</v>
      </c>
      <c r="H18" s="77">
        <f t="shared" si="2"/>
        <v>81461.999999999985</v>
      </c>
      <c r="I18" s="77">
        <f t="shared" si="2"/>
        <v>96773.000000000087</v>
      </c>
      <c r="J18" s="77">
        <f t="shared" si="2"/>
        <v>97689.999999999985</v>
      </c>
      <c r="K18" s="77">
        <f t="shared" si="2"/>
        <v>94827.000000000029</v>
      </c>
      <c r="L18" s="77">
        <f t="shared" si="2"/>
        <v>101844.33060000004</v>
      </c>
      <c r="M18" s="77">
        <f t="shared" si="2"/>
        <v>113149.33518680003</v>
      </c>
      <c r="N18" s="77">
        <f t="shared" si="2"/>
        <v>129144.57587130819</v>
      </c>
      <c r="O18" s="77">
        <f t="shared" si="2"/>
        <v>145203.30271212338</v>
      </c>
      <c r="P18" s="77">
        <f t="shared" si="2"/>
        <v>161408.21433343834</v>
      </c>
    </row>
    <row r="19" spans="1:16" ht="14.1" customHeight="1" x14ac:dyDescent="0.3">
      <c r="C19" s="23" t="s">
        <v>164</v>
      </c>
      <c r="H19" s="78">
        <f t="shared" ref="H19:P19" si="3">H18/G18-1</f>
        <v>0.51351652639206313</v>
      </c>
      <c r="I19" s="78">
        <f t="shared" si="3"/>
        <v>0.18795266504628061</v>
      </c>
      <c r="J19" s="78">
        <f t="shared" si="3"/>
        <v>9.4757835346626074E-3</v>
      </c>
      <c r="K19" s="78">
        <f t="shared" si="3"/>
        <v>-2.9306991503735835E-2</v>
      </c>
      <c r="L19" s="78">
        <f t="shared" si="3"/>
        <v>7.4001398335917123E-2</v>
      </c>
      <c r="M19" s="78">
        <f t="shared" si="3"/>
        <v>0.1110027874914421</v>
      </c>
      <c r="N19" s="78">
        <f t="shared" si="3"/>
        <v>0.14136398290013252</v>
      </c>
      <c r="O19" s="78">
        <f t="shared" si="3"/>
        <v>0.12434689364590601</v>
      </c>
      <c r="P19" s="78">
        <f t="shared" si="3"/>
        <v>0.11160153604386291</v>
      </c>
    </row>
    <row r="21" spans="1:16" ht="16.95" customHeight="1" x14ac:dyDescent="0.3">
      <c r="A21" s="24" t="s">
        <v>165</v>
      </c>
      <c r="B21" s="25"/>
      <c r="C21" s="25"/>
      <c r="D21" s="25"/>
      <c r="E21" s="25"/>
      <c r="F21" s="25"/>
      <c r="G21" s="25"/>
      <c r="H21" s="25"/>
      <c r="I21" s="25"/>
      <c r="J21" s="25"/>
      <c r="K21" s="25"/>
      <c r="L21" s="25"/>
      <c r="M21" s="25"/>
      <c r="N21" s="25"/>
      <c r="O21" s="25"/>
      <c r="P21" s="25"/>
    </row>
    <row r="22" spans="1:16" ht="14.1" customHeight="1" x14ac:dyDescent="0.3">
      <c r="C22" s="23" t="s">
        <v>166</v>
      </c>
      <c r="E22" s="45" t="s">
        <v>167</v>
      </c>
      <c r="G22" s="79">
        <v>3.99</v>
      </c>
      <c r="H22" s="79">
        <v>6.5</v>
      </c>
      <c r="I22" s="79">
        <v>14.7</v>
      </c>
      <c r="J22" s="79">
        <v>31.4</v>
      </c>
      <c r="K22" s="79">
        <v>46.7</v>
      </c>
    </row>
    <row r="23" spans="1:16" ht="14.1" customHeight="1" x14ac:dyDescent="0.3">
      <c r="C23" s="23" t="s">
        <v>168</v>
      </c>
      <c r="E23" s="45" t="s">
        <v>169</v>
      </c>
      <c r="G23" s="80">
        <f>G12/G22</f>
        <v>698.99749373433576</v>
      </c>
      <c r="H23" s="80">
        <f>H12/H22</f>
        <v>601.38461538461536</v>
      </c>
      <c r="I23" s="80">
        <f>I12/I22</f>
        <v>410.54421768707488</v>
      </c>
      <c r="J23" s="80">
        <f>J12/J22</f>
        <v>321.21019108280257</v>
      </c>
      <c r="K23" s="80">
        <f>K12/K22</f>
        <v>273.46895074946463</v>
      </c>
    </row>
    <row r="24" spans="1:16" ht="14.1" customHeight="1" x14ac:dyDescent="0.3">
      <c r="C24" s="23" t="s">
        <v>170</v>
      </c>
      <c r="E24" s="45" t="s">
        <v>167</v>
      </c>
      <c r="L24" s="80">
        <f>L12/$K$23</f>
        <v>60.710000000000008</v>
      </c>
      <c r="M24" s="80">
        <f>M12/$K$23</f>
        <v>75.887500000000017</v>
      </c>
      <c r="N24" s="80">
        <f>N12/$K$23</f>
        <v>91.065000000000012</v>
      </c>
      <c r="O24" s="80">
        <f>O12/$K$23</f>
        <v>107.45670000000001</v>
      </c>
      <c r="P24" s="80">
        <f>P12/$K$23</f>
        <v>123.575205</v>
      </c>
    </row>
    <row r="25" spans="1:16" ht="14.1" customHeight="1" x14ac:dyDescent="0.3">
      <c r="C25" s="23" t="s">
        <v>171</v>
      </c>
      <c r="E25" s="45" t="s">
        <v>167</v>
      </c>
      <c r="L25" s="80">
        <f>L12/($K$23*0.9^1)</f>
        <v>67.455555555555563</v>
      </c>
      <c r="M25" s="80">
        <f>M12/($K$23*0.9^2)</f>
        <v>93.688271604938279</v>
      </c>
      <c r="N25" s="80">
        <f>N12/($K$23*0.9^3)</f>
        <v>124.91769547325103</v>
      </c>
      <c r="O25" s="80">
        <f>O12/($K$23*0.9^4)</f>
        <v>163.78097850937357</v>
      </c>
      <c r="P25" s="80">
        <f>P12/($K$23*0.9^5)</f>
        <v>209.27569476197726</v>
      </c>
    </row>
    <row r="26" spans="1:16" ht="40.049999999999997" customHeight="1" x14ac:dyDescent="0.3">
      <c r="A26" s="296" t="s">
        <v>172</v>
      </c>
      <c r="B26" s="297"/>
      <c r="C26" s="297"/>
      <c r="D26" s="297"/>
      <c r="E26" s="297"/>
      <c r="F26" s="297"/>
      <c r="G26" s="297"/>
      <c r="H26" s="297"/>
      <c r="I26" s="297"/>
      <c r="J26" s="297"/>
      <c r="K26" s="297"/>
      <c r="L26" s="297"/>
      <c r="M26" s="297"/>
      <c r="N26" s="297"/>
      <c r="O26" s="297"/>
      <c r="P26" s="297"/>
    </row>
  </sheetData>
  <mergeCells count="5">
    <mergeCell ref="A1:D1"/>
    <mergeCell ref="E1:F1"/>
    <mergeCell ref="A26:P26"/>
    <mergeCell ref="G1:P1"/>
    <mergeCell ref="A2:P2"/>
  </mergeCells>
  <hyperlinks>
    <hyperlink ref="E1" location="Cover!A1" display="◄  Cover"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8BAC0"/>
  </sheetPr>
  <dimension ref="A1:P29"/>
  <sheetViews>
    <sheetView showGridLines="0" workbookViewId="0">
      <pane xSplit="6" ySplit="3" topLeftCell="H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173</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88</v>
      </c>
      <c r="B4" s="25"/>
      <c r="C4" s="25"/>
      <c r="D4" s="25"/>
      <c r="E4" s="25"/>
      <c r="F4" s="25"/>
      <c r="G4" s="25"/>
      <c r="H4" s="25"/>
      <c r="I4" s="25"/>
      <c r="J4" s="25"/>
      <c r="K4" s="25"/>
      <c r="L4" s="25"/>
      <c r="M4" s="25"/>
      <c r="N4" s="25"/>
      <c r="O4" s="25"/>
      <c r="P4" s="25"/>
    </row>
    <row r="5" spans="1:16" ht="14.1" customHeight="1" x14ac:dyDescent="0.3">
      <c r="C5" s="23" t="s">
        <v>174</v>
      </c>
      <c r="E5" s="45" t="s">
        <v>97</v>
      </c>
      <c r="G5" s="46">
        <f>'Revenue Build-up'!G9</f>
        <v>47231.999999999978</v>
      </c>
      <c r="H5" s="46">
        <f>'Revenue Build-up'!H9</f>
        <v>71461.999999999985</v>
      </c>
      <c r="I5" s="46">
        <f>'Revenue Build-up'!I9</f>
        <v>82419.000000000087</v>
      </c>
      <c r="J5" s="46">
        <f>'Revenue Build-up'!J9</f>
        <v>77069.999999999985</v>
      </c>
      <c r="K5" s="46">
        <f>'Revenue Build-up'!K9</f>
        <v>69526.000000000029</v>
      </c>
      <c r="L5" s="46">
        <f>'Revenue Build-up'!L9</f>
        <v>70832.530600000042</v>
      </c>
      <c r="M5" s="46">
        <f>'Revenue Build-up'!M9</f>
        <v>75969.63018680003</v>
      </c>
      <c r="N5" s="46">
        <f>'Revenue Build-up'!N9</f>
        <v>85678.807971308197</v>
      </c>
      <c r="O5" s="46">
        <f>'Revenue Build-up'!O9</f>
        <v>95027.43566412339</v>
      </c>
      <c r="P5" s="46">
        <f>'Revenue Build-up'!P9</f>
        <v>104537.55907015836</v>
      </c>
    </row>
    <row r="6" spans="1:16" ht="14.1" customHeight="1" x14ac:dyDescent="0.3">
      <c r="C6" s="23" t="s">
        <v>99</v>
      </c>
      <c r="G6" s="78">
        <f>1-G7/G5</f>
        <v>0.29300050813008094</v>
      </c>
      <c r="H6" s="78">
        <f>1-H7/H5</f>
        <v>0.28482270297500756</v>
      </c>
      <c r="I6" s="78">
        <f>1-I7/I5</f>
        <v>0.19449398803674001</v>
      </c>
      <c r="J6" s="78">
        <f>1-J7/J5</f>
        <v>0.18420916050343827</v>
      </c>
      <c r="K6" s="78">
        <f>1-K7/K5</f>
        <v>0.17778960388919285</v>
      </c>
      <c r="L6" s="47">
        <f>Assumptions!L14</f>
        <v>0.19</v>
      </c>
      <c r="M6" s="47">
        <f>Assumptions!M14</f>
        <v>0.2</v>
      </c>
      <c r="N6" s="47">
        <f>Assumptions!N14</f>
        <v>0.21</v>
      </c>
      <c r="O6" s="47">
        <f>Assumptions!O14</f>
        <v>0.22</v>
      </c>
      <c r="P6" s="47">
        <f>Assumptions!P14</f>
        <v>0.23</v>
      </c>
    </row>
    <row r="7" spans="1:16" ht="14.1" customHeight="1" x14ac:dyDescent="0.3">
      <c r="C7" s="23" t="s">
        <v>175</v>
      </c>
      <c r="E7" s="45" t="s">
        <v>97</v>
      </c>
      <c r="G7" s="81">
        <v>33393</v>
      </c>
      <c r="H7" s="81">
        <v>51108</v>
      </c>
      <c r="I7" s="81">
        <v>66389</v>
      </c>
      <c r="J7" s="81">
        <v>62873</v>
      </c>
      <c r="K7" s="81">
        <v>57165</v>
      </c>
      <c r="L7" s="82">
        <f>L5*(1-L6)</f>
        <v>57374.349786000035</v>
      </c>
      <c r="M7" s="82">
        <f>M5*(1-M6)</f>
        <v>60775.704149440026</v>
      </c>
      <c r="N7" s="82">
        <f>N5*(1-N6)</f>
        <v>67686.258297333479</v>
      </c>
      <c r="O7" s="82">
        <f>O5*(1-O6)</f>
        <v>74121.399818016245</v>
      </c>
      <c r="P7" s="82">
        <f>P5*(1-P6)</f>
        <v>80493.920484021932</v>
      </c>
    </row>
    <row r="8" spans="1:16" ht="4.95" customHeight="1" x14ac:dyDescent="0.3"/>
    <row r="9" spans="1:16" ht="16.95" customHeight="1" x14ac:dyDescent="0.3">
      <c r="A9" s="24" t="s">
        <v>100</v>
      </c>
      <c r="B9" s="25"/>
      <c r="C9" s="25"/>
      <c r="D9" s="25"/>
      <c r="E9" s="25"/>
      <c r="F9" s="25"/>
      <c r="G9" s="25"/>
      <c r="H9" s="25"/>
      <c r="I9" s="25"/>
      <c r="J9" s="25"/>
      <c r="K9" s="25"/>
      <c r="L9" s="25"/>
      <c r="M9" s="25"/>
      <c r="N9" s="25"/>
      <c r="O9" s="25"/>
      <c r="P9" s="25"/>
    </row>
    <row r="10" spans="1:16" ht="14.1" customHeight="1" x14ac:dyDescent="0.3">
      <c r="C10" s="23" t="s">
        <v>176</v>
      </c>
      <c r="E10" s="45" t="s">
        <v>97</v>
      </c>
      <c r="G10" s="46">
        <f>'Revenue Build-up'!G12</f>
        <v>2789</v>
      </c>
      <c r="H10" s="46">
        <f>'Revenue Build-up'!H12</f>
        <v>3909</v>
      </c>
      <c r="I10" s="46">
        <f>'Revenue Build-up'!I12</f>
        <v>6035</v>
      </c>
      <c r="J10" s="46">
        <f>'Revenue Build-up'!J12</f>
        <v>10086</v>
      </c>
      <c r="K10" s="46">
        <f>'Revenue Build-up'!K12</f>
        <v>12771</v>
      </c>
      <c r="L10" s="46">
        <f>'Revenue Build-up'!L12</f>
        <v>16602.3</v>
      </c>
      <c r="M10" s="46">
        <f>'Revenue Build-up'!M12</f>
        <v>20752.875</v>
      </c>
      <c r="N10" s="46">
        <f>'Revenue Build-up'!N12</f>
        <v>24903.45</v>
      </c>
      <c r="O10" s="46">
        <f>'Revenue Build-up'!O12</f>
        <v>29386.071</v>
      </c>
      <c r="P10" s="46">
        <f>'Revenue Build-up'!P12</f>
        <v>33793.981649999994</v>
      </c>
    </row>
    <row r="11" spans="1:16" ht="14.1" customHeight="1" x14ac:dyDescent="0.3">
      <c r="C11" s="23" t="s">
        <v>103</v>
      </c>
      <c r="G11" s="78">
        <f>1-G12/G10</f>
        <v>-4.6253137325206195E-2</v>
      </c>
      <c r="H11" s="78">
        <f>1-H12/H10</f>
        <v>7.3676132003069883E-2</v>
      </c>
      <c r="I11" s="78">
        <f>1-I12/I10</f>
        <v>0.18906379453189726</v>
      </c>
      <c r="J11" s="78">
        <f>1-J12/J10</f>
        <v>0.26174895895300421</v>
      </c>
      <c r="K11" s="78">
        <f>1-K12/K10</f>
        <v>0.29770573956620472</v>
      </c>
      <c r="L11" s="47">
        <f>Assumptions!L18</f>
        <v>0.3</v>
      </c>
      <c r="M11" s="47">
        <f>Assumptions!M18</f>
        <v>0.31</v>
      </c>
      <c r="N11" s="47">
        <f>Assumptions!N18</f>
        <v>0.32</v>
      </c>
      <c r="O11" s="47">
        <f>Assumptions!O18</f>
        <v>0.32</v>
      </c>
      <c r="P11" s="47">
        <f>Assumptions!P18</f>
        <v>0.32</v>
      </c>
    </row>
    <row r="12" spans="1:16" ht="14.1" customHeight="1" x14ac:dyDescent="0.3">
      <c r="C12" s="23" t="s">
        <v>177</v>
      </c>
      <c r="E12" s="45" t="s">
        <v>97</v>
      </c>
      <c r="G12" s="81">
        <v>2918</v>
      </c>
      <c r="H12" s="81">
        <v>3621</v>
      </c>
      <c r="I12" s="81">
        <v>4894</v>
      </c>
      <c r="J12" s="81">
        <v>7446</v>
      </c>
      <c r="K12" s="81">
        <v>8969</v>
      </c>
      <c r="L12" s="82">
        <f>L10*(1-L11)</f>
        <v>11621.609999999999</v>
      </c>
      <c r="M12" s="82">
        <f>M10*(1-M11)</f>
        <v>14319.483749999999</v>
      </c>
      <c r="N12" s="82">
        <f>N10*(1-N11)</f>
        <v>16934.345999999998</v>
      </c>
      <c r="O12" s="82">
        <f>O10*(1-O11)</f>
        <v>19982.528279999999</v>
      </c>
      <c r="P12" s="82">
        <f>P10*(1-P11)</f>
        <v>22979.907521999994</v>
      </c>
    </row>
    <row r="13" spans="1:16" ht="4.95" customHeight="1" x14ac:dyDescent="0.3"/>
    <row r="14" spans="1:16" ht="16.95" customHeight="1" x14ac:dyDescent="0.3">
      <c r="A14" s="24" t="s">
        <v>104</v>
      </c>
      <c r="B14" s="25"/>
      <c r="C14" s="25"/>
      <c r="D14" s="25"/>
      <c r="E14" s="25"/>
      <c r="F14" s="25"/>
      <c r="G14" s="25"/>
      <c r="H14" s="25"/>
      <c r="I14" s="25"/>
      <c r="J14" s="25"/>
      <c r="K14" s="25"/>
      <c r="L14" s="25"/>
      <c r="M14" s="25"/>
      <c r="N14" s="25"/>
      <c r="O14" s="25"/>
      <c r="P14" s="25"/>
    </row>
    <row r="15" spans="1:16" ht="14.1" customHeight="1" x14ac:dyDescent="0.3">
      <c r="C15" s="23" t="s">
        <v>162</v>
      </c>
      <c r="E15" s="45" t="s">
        <v>97</v>
      </c>
      <c r="G15" s="46">
        <f>'Revenue Build-up'!G15</f>
        <v>3802</v>
      </c>
      <c r="H15" s="46">
        <f>'Revenue Build-up'!H15</f>
        <v>6091</v>
      </c>
      <c r="I15" s="46">
        <f>'Revenue Build-up'!I15</f>
        <v>8319</v>
      </c>
      <c r="J15" s="46">
        <f>'Revenue Build-up'!J15</f>
        <v>10534</v>
      </c>
      <c r="K15" s="46">
        <f>'Revenue Build-up'!K15</f>
        <v>12530</v>
      </c>
      <c r="L15" s="46">
        <f>'Revenue Build-up'!L15</f>
        <v>14409.499999999998</v>
      </c>
      <c r="M15" s="46">
        <f>'Revenue Build-up'!M15</f>
        <v>16426.829999999998</v>
      </c>
      <c r="N15" s="46">
        <f>'Revenue Build-up'!N15</f>
        <v>18562.317899999995</v>
      </c>
      <c r="O15" s="46">
        <f>'Revenue Build-up'!O15</f>
        <v>20789.796047999997</v>
      </c>
      <c r="P15" s="46">
        <f>'Revenue Build-up'!P15</f>
        <v>23076.67361328</v>
      </c>
    </row>
    <row r="16" spans="1:16" ht="14.1" customHeight="1" x14ac:dyDescent="0.3">
      <c r="C16" s="23" t="s">
        <v>107</v>
      </c>
      <c r="G16" s="78">
        <f>1-G17/G15</f>
        <v>-2.7354024197790539E-2</v>
      </c>
      <c r="H16" s="78">
        <f>1-H17/H15</f>
        <v>3.464127401083561E-2</v>
      </c>
      <c r="I16" s="78">
        <f>1-I17/I15</f>
        <v>5.8781103498016574E-2</v>
      </c>
      <c r="J16" s="78">
        <f>1-J17/J15</f>
        <v>5.8192519460793624E-2</v>
      </c>
      <c r="K16" s="78">
        <f>1-K17/K15</f>
        <v>7.4301675977653581E-2</v>
      </c>
      <c r="L16" s="47">
        <f>Assumptions!L22</f>
        <v>0.12</v>
      </c>
      <c r="M16" s="47">
        <f>Assumptions!M22</f>
        <v>0.13</v>
      </c>
      <c r="N16" s="47">
        <f>Assumptions!N22</f>
        <v>0.14000000000000001</v>
      </c>
      <c r="O16" s="47">
        <f>Assumptions!O22</f>
        <v>0.15</v>
      </c>
      <c r="P16" s="47">
        <f>Assumptions!P22</f>
        <v>0.15</v>
      </c>
    </row>
    <row r="17" spans="1:16" ht="14.1" customHeight="1" x14ac:dyDescent="0.3">
      <c r="C17" s="23" t="s">
        <v>178</v>
      </c>
      <c r="E17" s="45" t="s">
        <v>97</v>
      </c>
      <c r="G17" s="81">
        <v>3906</v>
      </c>
      <c r="H17" s="81">
        <v>5880</v>
      </c>
      <c r="I17" s="81">
        <v>7830</v>
      </c>
      <c r="J17" s="81">
        <v>9921</v>
      </c>
      <c r="K17" s="81">
        <v>11599</v>
      </c>
      <c r="L17" s="82">
        <f>L15*(1-L16)</f>
        <v>12680.359999999999</v>
      </c>
      <c r="M17" s="82">
        <f>M15*(1-M16)</f>
        <v>14291.342099999998</v>
      </c>
      <c r="N17" s="82">
        <f>N15*(1-N16)</f>
        <v>15963.593393999996</v>
      </c>
      <c r="O17" s="82">
        <f>O15*(1-O16)</f>
        <v>17671.326640799998</v>
      </c>
      <c r="P17" s="82">
        <f>P15*(1-P16)</f>
        <v>19615.172571288</v>
      </c>
    </row>
    <row r="18" spans="1:16" ht="4.95" customHeight="1" x14ac:dyDescent="0.3"/>
    <row r="19" spans="1:16" ht="16.95" customHeight="1" x14ac:dyDescent="0.3">
      <c r="A19" s="24" t="s">
        <v>179</v>
      </c>
      <c r="B19" s="25"/>
      <c r="C19" s="25"/>
      <c r="D19" s="25"/>
      <c r="E19" s="25"/>
      <c r="F19" s="25"/>
      <c r="G19" s="25"/>
      <c r="H19" s="25"/>
      <c r="I19" s="25"/>
      <c r="J19" s="25"/>
      <c r="K19" s="25"/>
      <c r="L19" s="25"/>
      <c r="M19" s="25"/>
      <c r="N19" s="25"/>
      <c r="O19" s="25"/>
      <c r="P19" s="25"/>
    </row>
    <row r="20" spans="1:16" ht="14.1" customHeight="1" x14ac:dyDescent="0.3">
      <c r="C20" s="83" t="s">
        <v>179</v>
      </c>
      <c r="D20" s="84"/>
      <c r="E20" s="85" t="s">
        <v>97</v>
      </c>
      <c r="F20" s="84"/>
      <c r="G20" s="86">
        <f t="shared" ref="G20:P20" si="0">G7+G12+G17</f>
        <v>40217</v>
      </c>
      <c r="H20" s="86">
        <f t="shared" si="0"/>
        <v>60609</v>
      </c>
      <c r="I20" s="86">
        <f t="shared" si="0"/>
        <v>79113</v>
      </c>
      <c r="J20" s="86">
        <f t="shared" si="0"/>
        <v>80240</v>
      </c>
      <c r="K20" s="86">
        <f t="shared" si="0"/>
        <v>77733</v>
      </c>
      <c r="L20" s="86">
        <f t="shared" si="0"/>
        <v>81676.319786000036</v>
      </c>
      <c r="M20" s="86">
        <f t="shared" si="0"/>
        <v>89386.529999440027</v>
      </c>
      <c r="N20" s="86">
        <f t="shared" si="0"/>
        <v>100584.19769133348</v>
      </c>
      <c r="O20" s="86">
        <f t="shared" si="0"/>
        <v>111775.25473881623</v>
      </c>
      <c r="P20" s="86">
        <f t="shared" si="0"/>
        <v>123089.00057730993</v>
      </c>
    </row>
    <row r="21" spans="1:16" ht="4.95" customHeight="1" x14ac:dyDescent="0.3"/>
    <row r="22" spans="1:16" ht="16.95" customHeight="1" x14ac:dyDescent="0.3">
      <c r="A22" s="24" t="s">
        <v>180</v>
      </c>
      <c r="B22" s="25"/>
      <c r="C22" s="25"/>
      <c r="D22" s="25"/>
      <c r="E22" s="25"/>
      <c r="F22" s="25"/>
      <c r="G22" s="25"/>
      <c r="H22" s="25"/>
      <c r="I22" s="25"/>
      <c r="J22" s="25"/>
      <c r="K22" s="25"/>
      <c r="L22" s="25"/>
      <c r="M22" s="25"/>
      <c r="N22" s="25"/>
      <c r="O22" s="25"/>
      <c r="P22" s="25"/>
    </row>
    <row r="23" spans="1:16" ht="14.1" customHeight="1" x14ac:dyDescent="0.3">
      <c r="C23" s="23" t="s">
        <v>110</v>
      </c>
      <c r="G23" s="47">
        <f>Assumptions!G25</f>
        <v>4.81764301506791E-2</v>
      </c>
      <c r="H23" s="47">
        <f>Assumptions!H25</f>
        <v>3.7747661486337195E-2</v>
      </c>
      <c r="I23" s="47">
        <f>Assumptions!I25</f>
        <v>4.1013505833238574E-2</v>
      </c>
      <c r="J23" s="47">
        <f>Assumptions!J25</f>
        <v>4.6473538745009729E-2</v>
      </c>
      <c r="K23" s="47">
        <f>Assumptions!K25</f>
        <v>6.7607327027112515E-2</v>
      </c>
      <c r="L23" s="47">
        <f>Assumptions!L25</f>
        <v>7.0000000000000007E-2</v>
      </c>
      <c r="M23" s="47">
        <f>Assumptions!M25</f>
        <v>7.0000000000000007E-2</v>
      </c>
      <c r="N23" s="47">
        <f>Assumptions!N25</f>
        <v>6.5000000000000002E-2</v>
      </c>
      <c r="O23" s="47">
        <f>Assumptions!O25</f>
        <v>0.06</v>
      </c>
      <c r="P23" s="47">
        <f>Assumptions!P25</f>
        <v>0.06</v>
      </c>
    </row>
    <row r="24" spans="1:16" ht="14.1" customHeight="1" x14ac:dyDescent="0.3">
      <c r="C24" s="23" t="s">
        <v>181</v>
      </c>
      <c r="E24" s="45" t="s">
        <v>97</v>
      </c>
      <c r="G24" s="68">
        <v>2593</v>
      </c>
      <c r="H24" s="68">
        <v>3075</v>
      </c>
      <c r="I24" s="68">
        <v>3969</v>
      </c>
      <c r="J24" s="68">
        <v>4540</v>
      </c>
      <c r="K24" s="68">
        <v>6411</v>
      </c>
      <c r="L24" s="46">
        <f>'Revenue Build-up'!L18*L23</f>
        <v>7129.1031420000036</v>
      </c>
      <c r="M24" s="46">
        <f>'Revenue Build-up'!M18*M23</f>
        <v>7920.4534630760027</v>
      </c>
      <c r="N24" s="46">
        <f>'Revenue Build-up'!N18*N23</f>
        <v>8394.3974316350323</v>
      </c>
      <c r="O24" s="46">
        <f>'Revenue Build-up'!O18*O23</f>
        <v>8712.1981627274017</v>
      </c>
      <c r="P24" s="46">
        <f>'Revenue Build-up'!P18*P23</f>
        <v>9684.4928600062995</v>
      </c>
    </row>
    <row r="25" spans="1:16" ht="14.1" customHeight="1" x14ac:dyDescent="0.3">
      <c r="C25" s="23" t="s">
        <v>111</v>
      </c>
      <c r="G25" s="47">
        <f>Assumptions!G26</f>
        <v>8.3923229845976666E-2</v>
      </c>
      <c r="H25" s="47">
        <f>Assumptions!H26</f>
        <v>4.8439763325231408E-2</v>
      </c>
      <c r="I25" s="47">
        <f>Assumptions!I26</f>
        <v>4.9600611740878091E-2</v>
      </c>
      <c r="J25" s="47">
        <f>Assumptions!J26</f>
        <v>5.2717780734978001E-2</v>
      </c>
      <c r="K25" s="47">
        <f>Assumptions!K26</f>
        <v>6.1522562139475025E-2</v>
      </c>
      <c r="L25" s="47">
        <f>Assumptions!L26</f>
        <v>0.06</v>
      </c>
      <c r="M25" s="47">
        <f>Assumptions!M26</f>
        <v>5.8000000000000003E-2</v>
      </c>
      <c r="N25" s="47">
        <f>Assumptions!N26</f>
        <v>5.5E-2</v>
      </c>
      <c r="O25" s="47">
        <f>Assumptions!O26</f>
        <v>5.2999999999999999E-2</v>
      </c>
      <c r="P25" s="47">
        <f>Assumptions!P26</f>
        <v>0.05</v>
      </c>
    </row>
    <row r="26" spans="1:16" ht="14.1" customHeight="1" x14ac:dyDescent="0.3">
      <c r="C26" s="23" t="s">
        <v>182</v>
      </c>
      <c r="E26" s="45" t="s">
        <v>97</v>
      </c>
      <c r="G26" s="68">
        <v>4517</v>
      </c>
      <c r="H26" s="68">
        <v>3946</v>
      </c>
      <c r="I26" s="68">
        <v>4800</v>
      </c>
      <c r="J26" s="68">
        <v>5150</v>
      </c>
      <c r="K26" s="68">
        <v>5834</v>
      </c>
      <c r="L26" s="46">
        <f>'Revenue Build-up'!L18*L25</f>
        <v>6110.6598360000025</v>
      </c>
      <c r="M26" s="46">
        <f>'Revenue Build-up'!M18*M25</f>
        <v>6562.6614408344021</v>
      </c>
      <c r="N26" s="46">
        <f>'Revenue Build-up'!N18*N25</f>
        <v>7102.9516729219504</v>
      </c>
      <c r="O26" s="46">
        <f>'Revenue Build-up'!O18*O25</f>
        <v>7695.7750437425384</v>
      </c>
      <c r="P26" s="46">
        <f>'Revenue Build-up'!P18*P25</f>
        <v>8070.4107166719177</v>
      </c>
    </row>
    <row r="27" spans="1:16" ht="14.1" customHeight="1" x14ac:dyDescent="0.3">
      <c r="C27" s="23" t="s">
        <v>183</v>
      </c>
      <c r="E27" s="45" t="s">
        <v>97</v>
      </c>
      <c r="G27" s="68">
        <v>-27</v>
      </c>
      <c r="H27" s="68">
        <v>176</v>
      </c>
      <c r="I27" s="68">
        <v>0</v>
      </c>
      <c r="J27" s="68">
        <v>684</v>
      </c>
      <c r="K27" s="68">
        <v>494</v>
      </c>
      <c r="L27" s="68">
        <v>0</v>
      </c>
      <c r="M27" s="68">
        <v>0</v>
      </c>
      <c r="N27" s="68">
        <v>0</v>
      </c>
      <c r="O27" s="68">
        <v>0</v>
      </c>
      <c r="P27" s="68">
        <v>0</v>
      </c>
    </row>
    <row r="28" spans="1:16" ht="4.95" customHeight="1" x14ac:dyDescent="0.3"/>
    <row r="29" spans="1:16" ht="14.1" customHeight="1" x14ac:dyDescent="0.3">
      <c r="C29" s="83" t="s">
        <v>184</v>
      </c>
      <c r="D29" s="84"/>
      <c r="E29" s="85" t="s">
        <v>97</v>
      </c>
      <c r="F29" s="84"/>
      <c r="G29" s="86">
        <f t="shared" ref="G29:P29" si="1">SUM(G24,G26,G27)</f>
        <v>7083</v>
      </c>
      <c r="H29" s="86">
        <f t="shared" si="1"/>
        <v>7197</v>
      </c>
      <c r="I29" s="86">
        <f t="shared" si="1"/>
        <v>8769</v>
      </c>
      <c r="J29" s="86">
        <f t="shared" si="1"/>
        <v>10374</v>
      </c>
      <c r="K29" s="86">
        <f t="shared" si="1"/>
        <v>12739</v>
      </c>
      <c r="L29" s="86">
        <f t="shared" si="1"/>
        <v>13239.762978000006</v>
      </c>
      <c r="M29" s="86">
        <f t="shared" si="1"/>
        <v>14483.114903910406</v>
      </c>
      <c r="N29" s="86">
        <f t="shared" si="1"/>
        <v>15497.349104556983</v>
      </c>
      <c r="O29" s="86">
        <f t="shared" si="1"/>
        <v>16407.973206469942</v>
      </c>
      <c r="P29" s="86">
        <f t="shared" si="1"/>
        <v>17754.903576678218</v>
      </c>
    </row>
  </sheetData>
  <mergeCells count="4">
    <mergeCell ref="A1:D1"/>
    <mergeCell ref="E1:F1"/>
    <mergeCell ref="G1:P1"/>
    <mergeCell ref="A2:P2"/>
  </mergeCells>
  <hyperlinks>
    <hyperlink ref="E1" location="Cover!A1" display="◄  Cover"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E6E73"/>
  </sheetPr>
  <dimension ref="A1:V48"/>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 min="17" max="17" width="15" customWidth="1"/>
    <col min="18" max="22" width="13" customWidth="1"/>
  </cols>
  <sheetData>
    <row r="1" spans="1:16" ht="27" customHeight="1" x14ac:dyDescent="0.3">
      <c r="A1" s="301" t="s">
        <v>1</v>
      </c>
      <c r="B1" s="299"/>
      <c r="C1" s="299"/>
      <c r="D1" s="299"/>
      <c r="E1" s="298" t="s">
        <v>71</v>
      </c>
      <c r="F1" s="299"/>
      <c r="G1" s="304" t="s">
        <v>185</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186</v>
      </c>
      <c r="B4" s="25"/>
      <c r="C4" s="25"/>
      <c r="D4" s="25"/>
      <c r="E4" s="25"/>
      <c r="F4" s="25"/>
      <c r="G4" s="25"/>
      <c r="H4" s="25"/>
      <c r="I4" s="25"/>
      <c r="J4" s="25"/>
      <c r="K4" s="25"/>
      <c r="L4" s="25"/>
      <c r="M4" s="25"/>
      <c r="N4" s="25"/>
      <c r="O4" s="25"/>
      <c r="P4" s="25"/>
    </row>
    <row r="5" spans="1:16" ht="14.1" customHeight="1" x14ac:dyDescent="0.3">
      <c r="C5" s="23" t="s">
        <v>174</v>
      </c>
      <c r="E5" s="45" t="s">
        <v>97</v>
      </c>
      <c r="G5" s="46">
        <f>'Revenue Build-up'!G9</f>
        <v>47231.999999999978</v>
      </c>
      <c r="H5" s="46">
        <f>'Revenue Build-up'!H9</f>
        <v>71461.999999999985</v>
      </c>
      <c r="I5" s="46">
        <f>'Revenue Build-up'!I9</f>
        <v>82419.000000000087</v>
      </c>
      <c r="J5" s="46">
        <f>'Revenue Build-up'!J9</f>
        <v>77069.999999999985</v>
      </c>
      <c r="K5" s="46">
        <f>'Revenue Build-up'!K9</f>
        <v>69526.000000000029</v>
      </c>
      <c r="L5" s="46">
        <f>'Revenue Build-up'!L9</f>
        <v>70832.530600000042</v>
      </c>
      <c r="M5" s="46">
        <f>'Revenue Build-up'!M9</f>
        <v>75969.63018680003</v>
      </c>
      <c r="N5" s="46">
        <f>'Revenue Build-up'!N9</f>
        <v>85678.807971308197</v>
      </c>
      <c r="O5" s="46">
        <f>'Revenue Build-up'!O9</f>
        <v>95027.43566412339</v>
      </c>
      <c r="P5" s="46">
        <f>'Revenue Build-up'!P9</f>
        <v>104537.55907015836</v>
      </c>
    </row>
    <row r="6" spans="1:16" ht="14.1" customHeight="1" x14ac:dyDescent="0.3">
      <c r="C6" s="23" t="s">
        <v>161</v>
      </c>
      <c r="E6" s="45" t="s">
        <v>97</v>
      </c>
      <c r="G6" s="46">
        <f>'Revenue Build-up'!G12</f>
        <v>2789</v>
      </c>
      <c r="H6" s="46">
        <f>'Revenue Build-up'!H12</f>
        <v>3909</v>
      </c>
      <c r="I6" s="46">
        <f>'Revenue Build-up'!I12</f>
        <v>6035</v>
      </c>
      <c r="J6" s="46">
        <f>'Revenue Build-up'!J12</f>
        <v>10086</v>
      </c>
      <c r="K6" s="46">
        <f>'Revenue Build-up'!K12</f>
        <v>12771</v>
      </c>
      <c r="L6" s="46">
        <f>'Revenue Build-up'!L12</f>
        <v>16602.3</v>
      </c>
      <c r="M6" s="46">
        <f>'Revenue Build-up'!M12</f>
        <v>20752.875</v>
      </c>
      <c r="N6" s="46">
        <f>'Revenue Build-up'!N12</f>
        <v>24903.45</v>
      </c>
      <c r="O6" s="46">
        <f>'Revenue Build-up'!O12</f>
        <v>29386.071</v>
      </c>
      <c r="P6" s="46">
        <f>'Revenue Build-up'!P12</f>
        <v>33793.981649999994</v>
      </c>
    </row>
    <row r="7" spans="1:16" ht="14.1" customHeight="1" x14ac:dyDescent="0.3">
      <c r="C7" s="23" t="s">
        <v>162</v>
      </c>
      <c r="E7" s="45" t="s">
        <v>97</v>
      </c>
      <c r="G7" s="46">
        <f>'Revenue Build-up'!G15</f>
        <v>3802</v>
      </c>
      <c r="H7" s="46">
        <f>'Revenue Build-up'!H15</f>
        <v>6091</v>
      </c>
      <c r="I7" s="46">
        <f>'Revenue Build-up'!I15</f>
        <v>8319</v>
      </c>
      <c r="J7" s="46">
        <f>'Revenue Build-up'!J15</f>
        <v>10534</v>
      </c>
      <c r="K7" s="46">
        <f>'Revenue Build-up'!K15</f>
        <v>12530</v>
      </c>
      <c r="L7" s="46">
        <f>'Revenue Build-up'!L15</f>
        <v>14409.499999999998</v>
      </c>
      <c r="M7" s="46">
        <f>'Revenue Build-up'!M15</f>
        <v>16426.829999999998</v>
      </c>
      <c r="N7" s="46">
        <f>'Revenue Build-up'!N15</f>
        <v>18562.317899999995</v>
      </c>
      <c r="O7" s="46">
        <f>'Revenue Build-up'!O15</f>
        <v>20789.796047999997</v>
      </c>
      <c r="P7" s="46">
        <f>'Revenue Build-up'!P15</f>
        <v>23076.67361328</v>
      </c>
    </row>
    <row r="8" spans="1:16" ht="14.1" customHeight="1" x14ac:dyDescent="0.3">
      <c r="C8" s="83" t="s">
        <v>163</v>
      </c>
      <c r="D8" s="84"/>
      <c r="E8" s="85" t="s">
        <v>97</v>
      </c>
      <c r="F8" s="84"/>
      <c r="G8" s="86">
        <f t="shared" ref="G8:P8" si="0">SUM(G5:G7)</f>
        <v>53822.999999999978</v>
      </c>
      <c r="H8" s="86">
        <f t="shared" si="0"/>
        <v>81461.999999999985</v>
      </c>
      <c r="I8" s="86">
        <f t="shared" si="0"/>
        <v>96773.000000000087</v>
      </c>
      <c r="J8" s="86">
        <f t="shared" si="0"/>
        <v>97689.999999999985</v>
      </c>
      <c r="K8" s="86">
        <f t="shared" si="0"/>
        <v>94827.000000000029</v>
      </c>
      <c r="L8" s="86">
        <f t="shared" si="0"/>
        <v>101844.33060000004</v>
      </c>
      <c r="M8" s="86">
        <f t="shared" si="0"/>
        <v>113149.33518680003</v>
      </c>
      <c r="N8" s="86">
        <f t="shared" si="0"/>
        <v>129144.57587130819</v>
      </c>
      <c r="O8" s="86">
        <f t="shared" si="0"/>
        <v>145203.30271212338</v>
      </c>
      <c r="P8" s="86">
        <f t="shared" si="0"/>
        <v>161408.21433343834</v>
      </c>
    </row>
    <row r="9" spans="1:16" ht="4.95" customHeight="1" x14ac:dyDescent="0.3"/>
    <row r="10" spans="1:16" ht="16.95" customHeight="1" x14ac:dyDescent="0.3">
      <c r="A10" s="24" t="s">
        <v>187</v>
      </c>
      <c r="B10" s="25"/>
      <c r="C10" s="25"/>
      <c r="D10" s="25"/>
      <c r="E10" s="25"/>
      <c r="F10" s="25"/>
      <c r="G10" s="25"/>
      <c r="H10" s="25"/>
      <c r="I10" s="25"/>
      <c r="J10" s="25"/>
      <c r="K10" s="25"/>
      <c r="L10" s="25"/>
      <c r="M10" s="25"/>
      <c r="N10" s="25"/>
      <c r="O10" s="25"/>
      <c r="P10" s="25"/>
    </row>
    <row r="11" spans="1:16" ht="14.1" customHeight="1" x14ac:dyDescent="0.3">
      <c r="C11" s="23" t="s">
        <v>175</v>
      </c>
      <c r="E11" s="45" t="s">
        <v>97</v>
      </c>
      <c r="G11" s="46">
        <f>'Cost Build-up'!G7</f>
        <v>33393</v>
      </c>
      <c r="H11" s="46">
        <f>'Cost Build-up'!H7</f>
        <v>51108</v>
      </c>
      <c r="I11" s="46">
        <f>'Cost Build-up'!I7</f>
        <v>66389</v>
      </c>
      <c r="J11" s="46">
        <f>'Cost Build-up'!J7</f>
        <v>62873</v>
      </c>
      <c r="K11" s="46">
        <f>'Cost Build-up'!K7</f>
        <v>57165</v>
      </c>
      <c r="L11" s="46">
        <f>'Cost Build-up'!L7</f>
        <v>57374.349786000035</v>
      </c>
      <c r="M11" s="46">
        <f>'Cost Build-up'!M7</f>
        <v>60775.704149440026</v>
      </c>
      <c r="N11" s="46">
        <f>'Cost Build-up'!N7</f>
        <v>67686.258297333479</v>
      </c>
      <c r="O11" s="46">
        <f>'Cost Build-up'!O7</f>
        <v>74121.399818016245</v>
      </c>
      <c r="P11" s="46">
        <f>'Cost Build-up'!P7</f>
        <v>80493.920484021932</v>
      </c>
    </row>
    <row r="12" spans="1:16" ht="14.1" customHeight="1" x14ac:dyDescent="0.3">
      <c r="C12" s="23" t="s">
        <v>177</v>
      </c>
      <c r="E12" s="45" t="s">
        <v>97</v>
      </c>
      <c r="G12" s="46">
        <f>'Cost Build-up'!G12</f>
        <v>2918</v>
      </c>
      <c r="H12" s="46">
        <f>'Cost Build-up'!H12</f>
        <v>3621</v>
      </c>
      <c r="I12" s="46">
        <f>'Cost Build-up'!I12</f>
        <v>4894</v>
      </c>
      <c r="J12" s="46">
        <f>'Cost Build-up'!J12</f>
        <v>7446</v>
      </c>
      <c r="K12" s="46">
        <f>'Cost Build-up'!K12</f>
        <v>8969</v>
      </c>
      <c r="L12" s="46">
        <f>'Cost Build-up'!L12</f>
        <v>11621.609999999999</v>
      </c>
      <c r="M12" s="46">
        <f>'Cost Build-up'!M12</f>
        <v>14319.483749999999</v>
      </c>
      <c r="N12" s="46">
        <f>'Cost Build-up'!N12</f>
        <v>16934.345999999998</v>
      </c>
      <c r="O12" s="46">
        <f>'Cost Build-up'!O12</f>
        <v>19982.528279999999</v>
      </c>
      <c r="P12" s="46">
        <f>'Cost Build-up'!P12</f>
        <v>22979.907521999994</v>
      </c>
    </row>
    <row r="13" spans="1:16" ht="14.1" customHeight="1" x14ac:dyDescent="0.3">
      <c r="C13" s="23" t="s">
        <v>178</v>
      </c>
      <c r="E13" s="45" t="s">
        <v>97</v>
      </c>
      <c r="G13" s="46">
        <f>'Cost Build-up'!G17</f>
        <v>3906</v>
      </c>
      <c r="H13" s="46">
        <f>'Cost Build-up'!H17</f>
        <v>5880</v>
      </c>
      <c r="I13" s="46">
        <f>'Cost Build-up'!I17</f>
        <v>7830</v>
      </c>
      <c r="J13" s="46">
        <f>'Cost Build-up'!J17</f>
        <v>9921</v>
      </c>
      <c r="K13" s="46">
        <f>'Cost Build-up'!K17</f>
        <v>11599</v>
      </c>
      <c r="L13" s="46">
        <f>'Cost Build-up'!L17</f>
        <v>12680.359999999999</v>
      </c>
      <c r="M13" s="46">
        <f>'Cost Build-up'!M17</f>
        <v>14291.342099999998</v>
      </c>
      <c r="N13" s="46">
        <f>'Cost Build-up'!N17</f>
        <v>15963.593393999996</v>
      </c>
      <c r="O13" s="46">
        <f>'Cost Build-up'!O17</f>
        <v>17671.326640799998</v>
      </c>
      <c r="P13" s="46">
        <f>'Cost Build-up'!P17</f>
        <v>19615.172571288</v>
      </c>
    </row>
    <row r="14" spans="1:16" ht="14.1" customHeight="1" x14ac:dyDescent="0.3">
      <c r="C14" s="71" t="s">
        <v>188</v>
      </c>
      <c r="D14" s="72"/>
      <c r="E14" s="87" t="s">
        <v>97</v>
      </c>
      <c r="F14" s="72"/>
      <c r="G14" s="73">
        <f t="shared" ref="G14:P14" si="1">SUM(G11:G13)</f>
        <v>40217</v>
      </c>
      <c r="H14" s="73">
        <f t="shared" si="1"/>
        <v>60609</v>
      </c>
      <c r="I14" s="73">
        <f t="shared" si="1"/>
        <v>79113</v>
      </c>
      <c r="J14" s="73">
        <f t="shared" si="1"/>
        <v>80240</v>
      </c>
      <c r="K14" s="73">
        <f t="shared" si="1"/>
        <v>77733</v>
      </c>
      <c r="L14" s="73">
        <f t="shared" si="1"/>
        <v>81676.319786000036</v>
      </c>
      <c r="M14" s="73">
        <f t="shared" si="1"/>
        <v>89386.529999440027</v>
      </c>
      <c r="N14" s="73">
        <f t="shared" si="1"/>
        <v>100584.19769133348</v>
      </c>
      <c r="O14" s="73">
        <f t="shared" si="1"/>
        <v>111775.25473881623</v>
      </c>
      <c r="P14" s="73">
        <f t="shared" si="1"/>
        <v>123089.00057730993</v>
      </c>
    </row>
    <row r="15" spans="1:16" ht="4.95" customHeight="1" x14ac:dyDescent="0.3"/>
    <row r="16" spans="1:16" ht="14.1" customHeight="1" x14ac:dyDescent="0.3">
      <c r="C16" s="83" t="s">
        <v>189</v>
      </c>
      <c r="D16" s="84"/>
      <c r="E16" s="85" t="s">
        <v>97</v>
      </c>
      <c r="F16" s="84"/>
      <c r="G16" s="86">
        <f t="shared" ref="G16:P16" si="2">G8-G14</f>
        <v>13605.999999999978</v>
      </c>
      <c r="H16" s="86">
        <f t="shared" si="2"/>
        <v>20852.999999999985</v>
      </c>
      <c r="I16" s="86">
        <f t="shared" si="2"/>
        <v>17660.000000000087</v>
      </c>
      <c r="J16" s="86">
        <f t="shared" si="2"/>
        <v>17449.999999999985</v>
      </c>
      <c r="K16" s="86">
        <f t="shared" si="2"/>
        <v>17094.000000000029</v>
      </c>
      <c r="L16" s="86">
        <f t="shared" si="2"/>
        <v>20168.010814000008</v>
      </c>
      <c r="M16" s="86">
        <f t="shared" si="2"/>
        <v>23762.805187360005</v>
      </c>
      <c r="N16" s="86">
        <f t="shared" si="2"/>
        <v>28560.378179974708</v>
      </c>
      <c r="O16" s="86">
        <f t="shared" si="2"/>
        <v>33428.047973307141</v>
      </c>
      <c r="P16" s="86">
        <f t="shared" si="2"/>
        <v>38319.213756128418</v>
      </c>
    </row>
    <row r="17" spans="1:16" ht="14.1" customHeight="1" x14ac:dyDescent="0.3">
      <c r="C17" s="44" t="s">
        <v>190</v>
      </c>
      <c r="G17" s="88">
        <f t="shared" ref="G17:P17" si="3">G16/G8</f>
        <v>0.25279155751258725</v>
      </c>
      <c r="H17" s="88">
        <f t="shared" si="3"/>
        <v>0.25598438535758988</v>
      </c>
      <c r="I17" s="88">
        <f t="shared" si="3"/>
        <v>0.18248891736331488</v>
      </c>
      <c r="J17" s="88">
        <f t="shared" si="3"/>
        <v>0.17862626676220686</v>
      </c>
      <c r="K17" s="88">
        <f t="shared" si="3"/>
        <v>0.1802651143661618</v>
      </c>
      <c r="L17" s="88">
        <f t="shared" si="3"/>
        <v>0.1980278204509108</v>
      </c>
      <c r="M17" s="88">
        <f t="shared" si="3"/>
        <v>0.2100127689493678</v>
      </c>
      <c r="N17" s="88">
        <f t="shared" si="3"/>
        <v>0.2211504276295348</v>
      </c>
      <c r="O17" s="88">
        <f t="shared" si="3"/>
        <v>0.23021547959952945</v>
      </c>
      <c r="P17" s="88">
        <f t="shared" si="3"/>
        <v>0.23740559868265618</v>
      </c>
    </row>
    <row r="18" spans="1:16" ht="4.95" customHeight="1" x14ac:dyDescent="0.3"/>
    <row r="19" spans="1:16" ht="16.95" customHeight="1" x14ac:dyDescent="0.3">
      <c r="A19" s="24" t="s">
        <v>180</v>
      </c>
      <c r="B19" s="25"/>
      <c r="C19" s="25"/>
      <c r="D19" s="25"/>
      <c r="E19" s="25"/>
      <c r="F19" s="25"/>
      <c r="G19" s="25"/>
      <c r="H19" s="25"/>
      <c r="I19" s="25"/>
      <c r="J19" s="25"/>
      <c r="K19" s="25"/>
      <c r="L19" s="25"/>
      <c r="M19" s="25"/>
      <c r="N19" s="25"/>
      <c r="O19" s="25"/>
      <c r="P19" s="25"/>
    </row>
    <row r="20" spans="1:16" ht="14.1" customHeight="1" x14ac:dyDescent="0.3">
      <c r="C20" s="23" t="s">
        <v>181</v>
      </c>
      <c r="E20" s="45" t="s">
        <v>97</v>
      </c>
      <c r="G20" s="46">
        <f>'Cost Build-up'!G24</f>
        <v>2593</v>
      </c>
      <c r="H20" s="46">
        <f>'Cost Build-up'!H24</f>
        <v>3075</v>
      </c>
      <c r="I20" s="46">
        <f>'Cost Build-up'!I24</f>
        <v>3969</v>
      </c>
      <c r="J20" s="46">
        <f>'Cost Build-up'!J24</f>
        <v>4540</v>
      </c>
      <c r="K20" s="46">
        <f>'Cost Build-up'!K24</f>
        <v>6411</v>
      </c>
      <c r="L20" s="46">
        <f>'Cost Build-up'!L24</f>
        <v>7129.1031420000036</v>
      </c>
      <c r="M20" s="46">
        <f>'Cost Build-up'!M24</f>
        <v>7920.4534630760027</v>
      </c>
      <c r="N20" s="46">
        <f>'Cost Build-up'!N24</f>
        <v>8394.3974316350323</v>
      </c>
      <c r="O20" s="46">
        <f>'Cost Build-up'!O24</f>
        <v>8712.1981627274017</v>
      </c>
      <c r="P20" s="46">
        <f>'Cost Build-up'!P24</f>
        <v>9684.4928600062995</v>
      </c>
    </row>
    <row r="21" spans="1:16" ht="14.1" customHeight="1" x14ac:dyDescent="0.3">
      <c r="C21" s="23" t="s">
        <v>182</v>
      </c>
      <c r="E21" s="45" t="s">
        <v>97</v>
      </c>
      <c r="G21" s="46">
        <f>'Cost Build-up'!G26</f>
        <v>4517</v>
      </c>
      <c r="H21" s="46">
        <f>'Cost Build-up'!H26</f>
        <v>3946</v>
      </c>
      <c r="I21" s="46">
        <f>'Cost Build-up'!I26</f>
        <v>4800</v>
      </c>
      <c r="J21" s="46">
        <f>'Cost Build-up'!J26</f>
        <v>5150</v>
      </c>
      <c r="K21" s="46">
        <f>'Cost Build-up'!K26</f>
        <v>5834</v>
      </c>
      <c r="L21" s="46">
        <f>'Cost Build-up'!L26</f>
        <v>6110.6598360000025</v>
      </c>
      <c r="M21" s="46">
        <f>'Cost Build-up'!M26</f>
        <v>6562.6614408344021</v>
      </c>
      <c r="N21" s="46">
        <f>'Cost Build-up'!N26</f>
        <v>7102.9516729219504</v>
      </c>
      <c r="O21" s="46">
        <f>'Cost Build-up'!O26</f>
        <v>7695.7750437425384</v>
      </c>
      <c r="P21" s="46">
        <f>'Cost Build-up'!P26</f>
        <v>8070.4107166719177</v>
      </c>
    </row>
    <row r="22" spans="1:16" ht="14.1" customHeight="1" x14ac:dyDescent="0.3">
      <c r="C22" s="23" t="s">
        <v>183</v>
      </c>
      <c r="E22" s="45" t="s">
        <v>97</v>
      </c>
      <c r="G22" s="46">
        <f>'Cost Build-up'!G27</f>
        <v>-27</v>
      </c>
      <c r="H22" s="46">
        <f>'Cost Build-up'!H27</f>
        <v>176</v>
      </c>
      <c r="I22" s="46">
        <f>'Cost Build-up'!I27</f>
        <v>0</v>
      </c>
      <c r="J22" s="46">
        <f>'Cost Build-up'!J27</f>
        <v>684</v>
      </c>
      <c r="K22" s="46">
        <f>'Cost Build-up'!K27</f>
        <v>494</v>
      </c>
      <c r="L22" s="46">
        <f>'Cost Build-up'!L27</f>
        <v>0</v>
      </c>
      <c r="M22" s="46">
        <f>'Cost Build-up'!M27</f>
        <v>0</v>
      </c>
      <c r="N22" s="46">
        <f>'Cost Build-up'!N27</f>
        <v>0</v>
      </c>
      <c r="O22" s="46">
        <f>'Cost Build-up'!O27</f>
        <v>0</v>
      </c>
      <c r="P22" s="46">
        <f>'Cost Build-up'!P27</f>
        <v>0</v>
      </c>
    </row>
    <row r="23" spans="1:16" ht="14.1" customHeight="1" x14ac:dyDescent="0.3">
      <c r="C23" s="71" t="s">
        <v>184</v>
      </c>
      <c r="D23" s="72"/>
      <c r="E23" s="87" t="s">
        <v>97</v>
      </c>
      <c r="F23" s="72"/>
      <c r="G23" s="73">
        <f t="shared" ref="G23:P23" si="4">SUM(G20:G22)</f>
        <v>7083</v>
      </c>
      <c r="H23" s="73">
        <f t="shared" si="4"/>
        <v>7197</v>
      </c>
      <c r="I23" s="73">
        <f t="shared" si="4"/>
        <v>8769</v>
      </c>
      <c r="J23" s="73">
        <f t="shared" si="4"/>
        <v>10374</v>
      </c>
      <c r="K23" s="73">
        <f t="shared" si="4"/>
        <v>12739</v>
      </c>
      <c r="L23" s="73">
        <f t="shared" si="4"/>
        <v>13239.762978000006</v>
      </c>
      <c r="M23" s="73">
        <f t="shared" si="4"/>
        <v>14483.114903910406</v>
      </c>
      <c r="N23" s="73">
        <f t="shared" si="4"/>
        <v>15497.349104556983</v>
      </c>
      <c r="O23" s="73">
        <f t="shared" si="4"/>
        <v>16407.973206469942</v>
      </c>
      <c r="P23" s="73">
        <f t="shared" si="4"/>
        <v>17754.903576678218</v>
      </c>
    </row>
    <row r="24" spans="1:16" ht="4.95" customHeight="1" x14ac:dyDescent="0.3"/>
    <row r="25" spans="1:16" ht="14.1" customHeight="1" x14ac:dyDescent="0.3">
      <c r="C25" s="83" t="s">
        <v>191</v>
      </c>
      <c r="D25" s="84"/>
      <c r="E25" s="85" t="s">
        <v>97</v>
      </c>
      <c r="F25" s="84"/>
      <c r="G25" s="86">
        <f t="shared" ref="G25:P25" si="5">G16-G23</f>
        <v>6522.9999999999782</v>
      </c>
      <c r="H25" s="86">
        <f t="shared" si="5"/>
        <v>13655.999999999985</v>
      </c>
      <c r="I25" s="86">
        <f t="shared" si="5"/>
        <v>8891.0000000000873</v>
      </c>
      <c r="J25" s="86">
        <f t="shared" si="5"/>
        <v>7075.9999999999854</v>
      </c>
      <c r="K25" s="86">
        <f t="shared" si="5"/>
        <v>4355.0000000000291</v>
      </c>
      <c r="L25" s="86">
        <f t="shared" si="5"/>
        <v>6928.2478360000023</v>
      </c>
      <c r="M25" s="86">
        <f t="shared" si="5"/>
        <v>9279.6902834495995</v>
      </c>
      <c r="N25" s="86">
        <f t="shared" si="5"/>
        <v>13063.029075417726</v>
      </c>
      <c r="O25" s="86">
        <f t="shared" si="5"/>
        <v>17020.074766837199</v>
      </c>
      <c r="P25" s="86">
        <f t="shared" si="5"/>
        <v>20564.3101794502</v>
      </c>
    </row>
    <row r="26" spans="1:16" ht="14.1" customHeight="1" x14ac:dyDescent="0.3">
      <c r="C26" s="44" t="s">
        <v>192</v>
      </c>
      <c r="G26" s="88">
        <f t="shared" ref="G26:P26" si="6">G25/G8</f>
        <v>0.12119354179439981</v>
      </c>
      <c r="H26" s="88">
        <f t="shared" si="6"/>
        <v>0.16763644398615291</v>
      </c>
      <c r="I26" s="88">
        <f t="shared" si="6"/>
        <v>9.1874799789198214E-2</v>
      </c>
      <c r="J26" s="88">
        <f t="shared" si="6"/>
        <v>7.2433207083631754E-2</v>
      </c>
      <c r="K26" s="88">
        <f t="shared" si="6"/>
        <v>4.59257384500198E-2</v>
      </c>
      <c r="L26" s="88">
        <f t="shared" si="6"/>
        <v>6.8027820450910784E-2</v>
      </c>
      <c r="M26" s="88">
        <f t="shared" si="6"/>
        <v>8.2012768949367765E-2</v>
      </c>
      <c r="N26" s="88">
        <f t="shared" si="6"/>
        <v>0.1011504276295348</v>
      </c>
      <c r="O26" s="88">
        <f t="shared" si="6"/>
        <v>0.11721547959952947</v>
      </c>
      <c r="P26" s="88">
        <f t="shared" si="6"/>
        <v>0.12740559868265619</v>
      </c>
    </row>
    <row r="27" spans="1:16" ht="4.95" customHeight="1" x14ac:dyDescent="0.3"/>
    <row r="28" spans="1:16" ht="14.1" customHeight="1" x14ac:dyDescent="0.3">
      <c r="C28" s="23" t="s">
        <v>193</v>
      </c>
      <c r="E28" s="45" t="s">
        <v>97</v>
      </c>
      <c r="G28" s="46">
        <f>'Asset Schedule'!G7</f>
        <v>2911</v>
      </c>
      <c r="H28" s="46">
        <f>'Asset Schedule'!H7</f>
        <v>3747</v>
      </c>
      <c r="I28" s="46">
        <f>'Asset Schedule'!I7</f>
        <v>4667</v>
      </c>
      <c r="J28" s="46">
        <f>'Asset Schedule'!J7</f>
        <v>5368</v>
      </c>
      <c r="K28" s="46">
        <f>'Asset Schedule'!K7</f>
        <v>6148</v>
      </c>
      <c r="L28" s="46">
        <f>'Asset Schedule'!L7</f>
        <v>6706.0950000000003</v>
      </c>
      <c r="M28" s="46">
        <f>'Asset Schedule'!M7</f>
        <v>7059.4140896000008</v>
      </c>
      <c r="N28" s="46">
        <f>'Asset Schedule'!N7</f>
        <v>7410.7221760376306</v>
      </c>
      <c r="O28" s="46">
        <f>'Asset Schedule'!O7</f>
        <v>7803.5100698289161</v>
      </c>
      <c r="P28" s="46">
        <f>'Asset Schedule'!P7</f>
        <v>8484.3256689341524</v>
      </c>
    </row>
    <row r="29" spans="1:16" ht="14.1" customHeight="1" x14ac:dyDescent="0.3">
      <c r="C29" s="71" t="s">
        <v>194</v>
      </c>
      <c r="D29" s="72"/>
      <c r="E29" s="87" t="s">
        <v>97</v>
      </c>
      <c r="F29" s="72"/>
      <c r="G29" s="73">
        <f t="shared" ref="G29:P29" si="7">G25+G28</f>
        <v>9433.9999999999782</v>
      </c>
      <c r="H29" s="73">
        <f t="shared" si="7"/>
        <v>17402.999999999985</v>
      </c>
      <c r="I29" s="73">
        <f t="shared" si="7"/>
        <v>13558.000000000087</v>
      </c>
      <c r="J29" s="73">
        <f t="shared" si="7"/>
        <v>12443.999999999985</v>
      </c>
      <c r="K29" s="73">
        <f t="shared" si="7"/>
        <v>10503.000000000029</v>
      </c>
      <c r="L29" s="73">
        <f t="shared" si="7"/>
        <v>13634.342836000003</v>
      </c>
      <c r="M29" s="73">
        <f t="shared" si="7"/>
        <v>16339.1043730496</v>
      </c>
      <c r="N29" s="73">
        <f t="shared" si="7"/>
        <v>20473.751251455356</v>
      </c>
      <c r="O29" s="73">
        <f t="shared" si="7"/>
        <v>24823.584836666116</v>
      </c>
      <c r="P29" s="73">
        <f t="shared" si="7"/>
        <v>29048.635848384351</v>
      </c>
    </row>
    <row r="30" spans="1:16" ht="14.1" customHeight="1" x14ac:dyDescent="0.3">
      <c r="C30" s="44" t="s">
        <v>195</v>
      </c>
      <c r="G30" s="88">
        <f t="shared" ref="G30:P30" si="8">G29/G8</f>
        <v>0.17527822678037236</v>
      </c>
      <c r="H30" s="88">
        <f t="shared" si="8"/>
        <v>0.21363335051926038</v>
      </c>
      <c r="I30" s="88">
        <f t="shared" si="8"/>
        <v>0.14010106124642283</v>
      </c>
      <c r="J30" s="88">
        <f t="shared" si="8"/>
        <v>0.12738253659535251</v>
      </c>
      <c r="K30" s="88">
        <f t="shared" si="8"/>
        <v>0.11075959378658004</v>
      </c>
      <c r="L30" s="88">
        <f t="shared" si="8"/>
        <v>0.13387434288855737</v>
      </c>
      <c r="M30" s="88">
        <f t="shared" si="8"/>
        <v>0.14440300816681878</v>
      </c>
      <c r="N30" s="88">
        <f t="shared" si="8"/>
        <v>0.15853357458742465</v>
      </c>
      <c r="O30" s="88">
        <f t="shared" si="8"/>
        <v>0.17095743948662631</v>
      </c>
      <c r="P30" s="88">
        <f t="shared" si="8"/>
        <v>0.17996999699392902</v>
      </c>
    </row>
    <row r="31" spans="1:16" ht="4.95" customHeight="1" x14ac:dyDescent="0.3"/>
    <row r="32" spans="1:16" ht="16.95" customHeight="1" x14ac:dyDescent="0.3">
      <c r="A32" s="24" t="s">
        <v>196</v>
      </c>
      <c r="B32" s="25"/>
      <c r="C32" s="25"/>
      <c r="D32" s="25"/>
      <c r="E32" s="25"/>
      <c r="F32" s="25"/>
      <c r="G32" s="25"/>
      <c r="H32" s="25"/>
      <c r="I32" s="25"/>
      <c r="J32" s="25"/>
      <c r="K32" s="25"/>
      <c r="L32" s="25"/>
      <c r="M32" s="25"/>
      <c r="N32" s="25"/>
      <c r="O32" s="25"/>
      <c r="P32" s="25"/>
    </row>
    <row r="33" spans="3:22" ht="14.1" customHeight="1" x14ac:dyDescent="0.3">
      <c r="C33" s="23" t="s">
        <v>197</v>
      </c>
      <c r="E33" s="45" t="s">
        <v>97</v>
      </c>
      <c r="G33" s="46">
        <f>'Loans &amp; Other Income'!G16</f>
        <v>56</v>
      </c>
      <c r="H33" s="46">
        <f>'Loans &amp; Other Income'!H16</f>
        <v>297</v>
      </c>
      <c r="I33" s="46">
        <f>'Loans &amp; Other Income'!I16</f>
        <v>1066</v>
      </c>
      <c r="J33" s="46">
        <f>'Loans &amp; Other Income'!J16</f>
        <v>1569</v>
      </c>
      <c r="K33" s="46">
        <f>'Loans &amp; Other Income'!K16</f>
        <v>1680</v>
      </c>
      <c r="L33" s="46">
        <f>'Loans &amp; Other Income'!L16</f>
        <v>743.08499999999992</v>
      </c>
      <c r="M33" s="46">
        <f>'Loans &amp; Other Income'!M16</f>
        <v>883.82997252720224</v>
      </c>
      <c r="N33" s="46">
        <f>'Loans &amp; Other Income'!N16</f>
        <v>1064.9972290771191</v>
      </c>
      <c r="O33" s="46">
        <f>'Loans &amp; Other Income'!O16</f>
        <v>1129.906572382813</v>
      </c>
      <c r="P33" s="46">
        <f>'Loans &amp; Other Income'!P16</f>
        <v>1435.2461572913512</v>
      </c>
    </row>
    <row r="34" spans="3:22" ht="14.1" customHeight="1" x14ac:dyDescent="0.3">
      <c r="C34" s="23" t="s">
        <v>198</v>
      </c>
      <c r="E34" s="45" t="s">
        <v>97</v>
      </c>
      <c r="G34" s="46">
        <f>'Loans &amp; Other Income'!G11</f>
        <v>371</v>
      </c>
      <c r="H34" s="46">
        <f>'Loans &amp; Other Income'!H11</f>
        <v>191</v>
      </c>
      <c r="I34" s="46">
        <f>'Loans &amp; Other Income'!I11</f>
        <v>156</v>
      </c>
      <c r="J34" s="46">
        <f>'Loans &amp; Other Income'!J11</f>
        <v>350</v>
      </c>
      <c r="K34" s="46">
        <f>'Loans &amp; Other Income'!K11</f>
        <v>338</v>
      </c>
      <c r="L34" s="46">
        <f>'Loans &amp; Other Income'!L11</f>
        <v>418.8</v>
      </c>
      <c r="M34" s="46">
        <f>'Loans &amp; Other Income'!M11</f>
        <v>418.8</v>
      </c>
      <c r="N34" s="46">
        <f>'Loans &amp; Other Income'!N11</f>
        <v>418.8</v>
      </c>
      <c r="O34" s="46">
        <f>'Loans &amp; Other Income'!O11</f>
        <v>418.8</v>
      </c>
      <c r="P34" s="46">
        <f>'Loans &amp; Other Income'!P11</f>
        <v>418.8</v>
      </c>
    </row>
    <row r="35" spans="3:22" ht="14.1" customHeight="1" x14ac:dyDescent="0.3">
      <c r="C35" s="23" t="s">
        <v>199</v>
      </c>
      <c r="E35" s="45" t="s">
        <v>97</v>
      </c>
      <c r="G35" s="68">
        <v>135</v>
      </c>
      <c r="H35" s="68">
        <v>-43</v>
      </c>
      <c r="I35" s="68">
        <v>172</v>
      </c>
      <c r="J35" s="68">
        <v>695</v>
      </c>
      <c r="K35" s="68">
        <v>-419</v>
      </c>
      <c r="L35" s="68">
        <v>0</v>
      </c>
      <c r="M35" s="68">
        <v>0</v>
      </c>
      <c r="N35" s="68">
        <v>0</v>
      </c>
      <c r="O35" s="68">
        <v>0</v>
      </c>
      <c r="P35" s="68">
        <v>0</v>
      </c>
    </row>
    <row r="36" spans="3:22" ht="4.95" customHeight="1" x14ac:dyDescent="0.3"/>
    <row r="37" spans="3:22" ht="14.1" customHeight="1" x14ac:dyDescent="0.3">
      <c r="C37" s="83" t="s">
        <v>200</v>
      </c>
      <c r="D37" s="84"/>
      <c r="E37" s="85" t="s">
        <v>97</v>
      </c>
      <c r="F37" s="84"/>
      <c r="G37" s="86">
        <f t="shared" ref="G37:P37" si="9">G25+G33-G34+G35</f>
        <v>6342.9999999999782</v>
      </c>
      <c r="H37" s="86">
        <f t="shared" si="9"/>
        <v>13718.999999999985</v>
      </c>
      <c r="I37" s="86">
        <f t="shared" si="9"/>
        <v>9973.0000000000873</v>
      </c>
      <c r="J37" s="86">
        <f t="shared" si="9"/>
        <v>8989.9999999999854</v>
      </c>
      <c r="K37" s="86">
        <f t="shared" si="9"/>
        <v>5278.0000000000291</v>
      </c>
      <c r="L37" s="86">
        <f t="shared" si="9"/>
        <v>7252.5328360000021</v>
      </c>
      <c r="M37" s="86">
        <f t="shared" si="9"/>
        <v>9744.7202559768029</v>
      </c>
      <c r="N37" s="86">
        <f t="shared" si="9"/>
        <v>13709.226304494845</v>
      </c>
      <c r="O37" s="86">
        <f t="shared" si="9"/>
        <v>17731.181339220013</v>
      </c>
      <c r="P37" s="86">
        <f t="shared" si="9"/>
        <v>21580.756336741553</v>
      </c>
    </row>
    <row r="38" spans="3:22" ht="14.1" customHeight="1" x14ac:dyDescent="0.3">
      <c r="C38" s="44" t="s">
        <v>201</v>
      </c>
      <c r="G38" s="88">
        <f t="shared" ref="G38:P38" si="10">G37/G8</f>
        <v>0.11784924660461106</v>
      </c>
      <c r="H38" s="88">
        <f t="shared" si="10"/>
        <v>0.16840981070928762</v>
      </c>
      <c r="I38" s="88">
        <f t="shared" si="10"/>
        <v>0.10305560435245449</v>
      </c>
      <c r="J38" s="88">
        <f t="shared" si="10"/>
        <v>9.202579588494203E-2</v>
      </c>
      <c r="K38" s="88">
        <f t="shared" si="10"/>
        <v>5.565925316629259E-2</v>
      </c>
      <c r="L38" s="88">
        <f t="shared" si="10"/>
        <v>7.1211944673530994E-2</v>
      </c>
      <c r="M38" s="88">
        <f t="shared" si="10"/>
        <v>8.6122647030042992E-2</v>
      </c>
      <c r="N38" s="88">
        <f t="shared" si="10"/>
        <v>0.10615410064264727</v>
      </c>
      <c r="O38" s="88">
        <f t="shared" si="10"/>
        <v>0.12211279638985507</v>
      </c>
      <c r="P38" s="88">
        <f t="shared" si="10"/>
        <v>0.13370296193327472</v>
      </c>
    </row>
    <row r="39" spans="3:22" ht="4.95" customHeight="1" x14ac:dyDescent="0.3"/>
    <row r="40" spans="3:22" ht="14.1" customHeight="1" x14ac:dyDescent="0.3">
      <c r="C40" s="23" t="s">
        <v>202</v>
      </c>
      <c r="E40" s="45" t="s">
        <v>97</v>
      </c>
      <c r="G40" s="46">
        <f>'Tax Schedule'!G6</f>
        <v>699</v>
      </c>
      <c r="H40" s="46">
        <f>'Tax Schedule'!H6</f>
        <v>1132</v>
      </c>
      <c r="I40" s="46">
        <f>'Tax Schedule'!I6</f>
        <v>-5001</v>
      </c>
      <c r="J40" s="46">
        <f>'Tax Schedule'!J6</f>
        <v>1837</v>
      </c>
      <c r="K40" s="46">
        <f>'Tax Schedule'!K6</f>
        <v>1423</v>
      </c>
      <c r="L40" s="46">
        <f>'Tax Schedule'!L6</f>
        <v>1740.6078806400005</v>
      </c>
      <c r="M40" s="46">
        <f>'Tax Schedule'!M6</f>
        <v>2338.7328614344328</v>
      </c>
      <c r="N40" s="46">
        <f>'Tax Schedule'!N6</f>
        <v>3290.2143130787626</v>
      </c>
      <c r="O40" s="46">
        <f>'Tax Schedule'!O6</f>
        <v>4255.4835214128034</v>
      </c>
      <c r="P40" s="46">
        <f>'Tax Schedule'!P6</f>
        <v>5179.3815208179722</v>
      </c>
    </row>
    <row r="41" spans="3:22" ht="14.1" customHeight="1" x14ac:dyDescent="0.3">
      <c r="C41" s="44" t="s">
        <v>203</v>
      </c>
      <c r="G41" s="88">
        <f t="shared" ref="G41:P41" si="11">G40/G37</f>
        <v>0.11020022071575003</v>
      </c>
      <c r="H41" s="88">
        <f t="shared" si="11"/>
        <v>8.2513302718857151E-2</v>
      </c>
      <c r="I41" s="88">
        <f t="shared" si="11"/>
        <v>-0.50145392559911328</v>
      </c>
      <c r="J41" s="88">
        <f t="shared" si="11"/>
        <v>0.20433815350389353</v>
      </c>
      <c r="K41" s="88">
        <f t="shared" si="11"/>
        <v>0.26960970064418194</v>
      </c>
      <c r="L41" s="88">
        <f t="shared" si="11"/>
        <v>0.24</v>
      </c>
      <c r="M41" s="88">
        <f t="shared" si="11"/>
        <v>0.24000000000000002</v>
      </c>
      <c r="N41" s="88">
        <f t="shared" si="11"/>
        <v>0.24</v>
      </c>
      <c r="O41" s="88">
        <f t="shared" si="11"/>
        <v>0.24000000000000002</v>
      </c>
      <c r="P41" s="88">
        <f t="shared" si="11"/>
        <v>0.23999999999999996</v>
      </c>
    </row>
    <row r="42" spans="3:22" ht="4.95" customHeight="1" x14ac:dyDescent="0.3"/>
    <row r="43" spans="3:22" ht="14.1" customHeight="1" x14ac:dyDescent="0.3">
      <c r="C43" s="83" t="s">
        <v>204</v>
      </c>
      <c r="D43" s="84"/>
      <c r="E43" s="85" t="s">
        <v>97</v>
      </c>
      <c r="F43" s="84"/>
      <c r="G43" s="86">
        <f t="shared" ref="G43:P43" si="12">G37-G40</f>
        <v>5643.9999999999782</v>
      </c>
      <c r="H43" s="86">
        <f t="shared" si="12"/>
        <v>12586.999999999985</v>
      </c>
      <c r="I43" s="86">
        <f t="shared" si="12"/>
        <v>14974.000000000087</v>
      </c>
      <c r="J43" s="86">
        <f t="shared" si="12"/>
        <v>7152.9999999999854</v>
      </c>
      <c r="K43" s="86">
        <f t="shared" si="12"/>
        <v>3855.0000000000291</v>
      </c>
      <c r="L43" s="86">
        <f t="shared" si="12"/>
        <v>5511.9249553600021</v>
      </c>
      <c r="M43" s="86">
        <f t="shared" si="12"/>
        <v>7405.9873945423697</v>
      </c>
      <c r="N43" s="86">
        <f t="shared" si="12"/>
        <v>10419.011991416082</v>
      </c>
      <c r="O43" s="86">
        <f t="shared" si="12"/>
        <v>13475.69781780721</v>
      </c>
      <c r="P43" s="86">
        <f t="shared" si="12"/>
        <v>16401.37481592358</v>
      </c>
    </row>
    <row r="44" spans="3:22" ht="14.1" customHeight="1" x14ac:dyDescent="0.3">
      <c r="C44" s="44" t="s">
        <v>205</v>
      </c>
      <c r="G44" s="88">
        <f t="shared" ref="G44:P44" si="13">G43/G8</f>
        <v>0.10486223361759806</v>
      </c>
      <c r="H44" s="88">
        <f t="shared" si="13"/>
        <v>0.15451376101740674</v>
      </c>
      <c r="I44" s="88">
        <f t="shared" si="13"/>
        <v>0.15473324170998184</v>
      </c>
      <c r="J44" s="88">
        <f t="shared" si="13"/>
        <v>7.3221414679086771E-2</v>
      </c>
      <c r="K44" s="88">
        <f t="shared" si="13"/>
        <v>4.0652978582049713E-2</v>
      </c>
      <c r="L44" s="88">
        <f t="shared" si="13"/>
        <v>5.4121077951883555E-2</v>
      </c>
      <c r="M44" s="88">
        <f t="shared" si="13"/>
        <v>6.5453211742832668E-2</v>
      </c>
      <c r="N44" s="88">
        <f t="shared" si="13"/>
        <v>8.0677116488411915E-2</v>
      </c>
      <c r="O44" s="88">
        <f t="shared" si="13"/>
        <v>9.2805725256289856E-2</v>
      </c>
      <c r="P44" s="88">
        <f t="shared" si="13"/>
        <v>0.10161425106928879</v>
      </c>
    </row>
    <row r="45" spans="3:22" ht="14.1" customHeight="1" x14ac:dyDescent="0.3">
      <c r="C45" s="23" t="s">
        <v>206</v>
      </c>
      <c r="G45" s="68">
        <v>125</v>
      </c>
      <c r="H45" s="68">
        <v>31</v>
      </c>
      <c r="I45" s="68">
        <v>-23</v>
      </c>
      <c r="J45" s="68">
        <v>62</v>
      </c>
      <c r="K45" s="68">
        <v>61</v>
      </c>
      <c r="L45" s="68">
        <v>0</v>
      </c>
      <c r="M45" s="68">
        <v>0</v>
      </c>
      <c r="N45" s="68">
        <v>0</v>
      </c>
      <c r="O45" s="68">
        <v>0</v>
      </c>
      <c r="P45" s="68">
        <v>0</v>
      </c>
    </row>
    <row r="46" spans="3:22" ht="14.1" customHeight="1" x14ac:dyDescent="0.3">
      <c r="C46" s="74" t="s">
        <v>207</v>
      </c>
      <c r="D46" s="75"/>
      <c r="E46" s="75"/>
      <c r="F46" s="75"/>
      <c r="G46" s="77">
        <f t="shared" ref="G46:P46" si="14">G43-G45</f>
        <v>5518.9999999999782</v>
      </c>
      <c r="H46" s="77">
        <f t="shared" si="14"/>
        <v>12555.999999999985</v>
      </c>
      <c r="I46" s="77">
        <f t="shared" si="14"/>
        <v>14997.000000000087</v>
      </c>
      <c r="J46" s="77">
        <f t="shared" si="14"/>
        <v>7090.9999999999854</v>
      </c>
      <c r="K46" s="77">
        <f t="shared" si="14"/>
        <v>3794.0000000000291</v>
      </c>
      <c r="L46" s="77">
        <f t="shared" si="14"/>
        <v>5511.9249553600021</v>
      </c>
      <c r="M46" s="77">
        <f t="shared" si="14"/>
        <v>7405.9873945423697</v>
      </c>
      <c r="N46" s="77">
        <f t="shared" si="14"/>
        <v>10419.011991416082</v>
      </c>
      <c r="O46" s="77">
        <f t="shared" si="14"/>
        <v>13475.69781780721</v>
      </c>
      <c r="P46" s="77">
        <f t="shared" si="14"/>
        <v>16401.37481592358</v>
      </c>
    </row>
    <row r="47" spans="3:22" ht="14.1" customHeight="1" x14ac:dyDescent="0.3">
      <c r="C47" s="23" t="s">
        <v>208</v>
      </c>
      <c r="E47" s="45" t="s">
        <v>141</v>
      </c>
      <c r="G47" s="49">
        <f>'Equity Schedule'!G12</f>
        <v>3386</v>
      </c>
      <c r="H47" s="49">
        <f>'Equity Schedule'!H12</f>
        <v>3475</v>
      </c>
      <c r="I47" s="49">
        <f>'Equity Schedule'!I12</f>
        <v>3485</v>
      </c>
      <c r="J47" s="49">
        <f>'Equity Schedule'!J12</f>
        <v>3498</v>
      </c>
      <c r="K47" s="49">
        <f>'Equity Schedule'!K12</f>
        <v>3528</v>
      </c>
      <c r="L47" s="49">
        <f>'Equity Schedule'!L12</f>
        <v>3950</v>
      </c>
      <c r="M47" s="49">
        <f>'Equity Schedule'!M12</f>
        <v>3950</v>
      </c>
      <c r="N47" s="49">
        <f>'Equity Schedule'!N12</f>
        <v>3950</v>
      </c>
      <c r="O47" s="49">
        <f>'Equity Schedule'!O12</f>
        <v>3950</v>
      </c>
      <c r="P47" s="49">
        <f>'Equity Schedule'!P12</f>
        <v>3950</v>
      </c>
    </row>
    <row r="48" spans="3:22" ht="14.1" customHeight="1" x14ac:dyDescent="0.3">
      <c r="C48" s="89" t="s">
        <v>209</v>
      </c>
      <c r="E48" s="45" t="s">
        <v>140</v>
      </c>
      <c r="G48" s="90">
        <f t="shared" ref="G48:P48" si="15">G46/G47</f>
        <v>1.6299468399291135</v>
      </c>
      <c r="H48" s="90">
        <f t="shared" si="15"/>
        <v>3.6132374100719384</v>
      </c>
      <c r="I48" s="90">
        <f t="shared" si="15"/>
        <v>4.3032998565280023</v>
      </c>
      <c r="J48" s="90">
        <f t="shared" si="15"/>
        <v>2.0271583762149756</v>
      </c>
      <c r="K48" s="90">
        <f t="shared" si="15"/>
        <v>1.0753968253968336</v>
      </c>
      <c r="L48" s="90">
        <f t="shared" si="15"/>
        <v>1.3954240393316462</v>
      </c>
      <c r="M48" s="90">
        <f t="shared" si="15"/>
        <v>1.8749335176056632</v>
      </c>
      <c r="N48" s="90">
        <f t="shared" si="15"/>
        <v>2.6377245547888815</v>
      </c>
      <c r="O48" s="90">
        <f t="shared" si="15"/>
        <v>3.4115690677992934</v>
      </c>
      <c r="P48" s="90">
        <f t="shared" si="15"/>
        <v>4.1522467888414125</v>
      </c>
      <c r="Q48" s="348"/>
      <c r="R48" s="297"/>
      <c r="S48" s="297"/>
      <c r="T48" s="297"/>
      <c r="U48" s="297"/>
      <c r="V48" s="297"/>
    </row>
  </sheetData>
  <mergeCells count="5">
    <mergeCell ref="A1:D1"/>
    <mergeCell ref="G1:P1"/>
    <mergeCell ref="Q48:V48"/>
    <mergeCell ref="E1:F1"/>
    <mergeCell ref="A2:P2"/>
  </mergeCells>
  <hyperlinks>
    <hyperlink ref="E1" location="Cover!A1" display="◄  Cover"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E6E73"/>
  </sheetPr>
  <dimension ref="A1:P37"/>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210</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211</v>
      </c>
      <c r="B4" s="25"/>
      <c r="C4" s="25"/>
      <c r="D4" s="25"/>
      <c r="E4" s="25"/>
      <c r="F4" s="25"/>
      <c r="G4" s="25"/>
      <c r="H4" s="25"/>
      <c r="I4" s="25"/>
      <c r="J4" s="25"/>
      <c r="K4" s="25"/>
      <c r="L4" s="25"/>
      <c r="M4" s="25"/>
      <c r="N4" s="25"/>
      <c r="O4" s="25"/>
      <c r="P4" s="25"/>
    </row>
    <row r="5" spans="1:16" ht="14.1" customHeight="1" x14ac:dyDescent="0.3">
      <c r="C5" s="23" t="s">
        <v>212</v>
      </c>
      <c r="E5" s="45" t="s">
        <v>97</v>
      </c>
      <c r="G5" s="68">
        <v>17576</v>
      </c>
      <c r="H5" s="68">
        <v>16253</v>
      </c>
      <c r="I5" s="68">
        <v>16398</v>
      </c>
      <c r="J5" s="68">
        <v>16139</v>
      </c>
      <c r="K5" s="68">
        <v>16513</v>
      </c>
      <c r="L5" s="46">
        <f>Cashflow!L32</f>
        <v>19640.666056160051</v>
      </c>
      <c r="M5" s="46">
        <f>Cashflow!M32</f>
        <v>23666.605090602647</v>
      </c>
      <c r="N5" s="46">
        <f>Cashflow!N32</f>
        <v>28247.664309570322</v>
      </c>
      <c r="O5" s="46">
        <f>Cashflow!O32</f>
        <v>35881.153932283778</v>
      </c>
      <c r="P5" s="46">
        <f>Cashflow!P32</f>
        <v>45753.868462138526</v>
      </c>
    </row>
    <row r="6" spans="1:16" ht="14.1" customHeight="1" x14ac:dyDescent="0.3">
      <c r="C6" s="23" t="s">
        <v>213</v>
      </c>
      <c r="E6" s="45" t="s">
        <v>97</v>
      </c>
      <c r="G6" s="68">
        <v>1913</v>
      </c>
      <c r="H6" s="68">
        <v>2952</v>
      </c>
      <c r="I6" s="68">
        <v>3508</v>
      </c>
      <c r="J6" s="68">
        <v>4418</v>
      </c>
      <c r="K6" s="68">
        <v>4576</v>
      </c>
      <c r="L6" s="46">
        <f>IS!L8/365*Assumptions!L29</f>
        <v>5022.4601391780843</v>
      </c>
      <c r="M6" s="46">
        <f>IS!M8/365*Assumptions!M29</f>
        <v>5579.9672146915082</v>
      </c>
      <c r="N6" s="46">
        <f>IS!N8/365*Assumptions!N29</f>
        <v>6014.9528488006554</v>
      </c>
      <c r="O6" s="46">
        <f>IS!O8/365*Assumptions!O29</f>
        <v>6762.8935509756093</v>
      </c>
      <c r="P6" s="46">
        <f>IS!P8/365*Assumptions!P29</f>
        <v>7517.6428593656219</v>
      </c>
    </row>
    <row r="7" spans="1:16" ht="14.1" customHeight="1" x14ac:dyDescent="0.3">
      <c r="C7" s="23" t="s">
        <v>214</v>
      </c>
      <c r="E7" s="45" t="s">
        <v>97</v>
      </c>
      <c r="G7" s="68">
        <v>5757</v>
      </c>
      <c r="H7" s="68">
        <v>12839</v>
      </c>
      <c r="I7" s="68">
        <v>13626</v>
      </c>
      <c r="J7" s="68">
        <v>12017</v>
      </c>
      <c r="K7" s="68">
        <v>12392</v>
      </c>
      <c r="L7" s="46">
        <f>IS!L14/365*Assumptions!L30</f>
        <v>12307.390652684937</v>
      </c>
      <c r="M7" s="46">
        <f>IS!M14/365*Assumptions!M30</f>
        <v>12979.413945124168</v>
      </c>
      <c r="N7" s="46">
        <f>IS!N14/365*Assumptions!N30</f>
        <v>13778.657217990889</v>
      </c>
      <c r="O7" s="46">
        <f>IS!O14/365*Assumptions!O30</f>
        <v>14699.211582090902</v>
      </c>
      <c r="P7" s="46">
        <f>IS!P14/365*Assumptions!P30</f>
        <v>16187.046651262675</v>
      </c>
    </row>
    <row r="8" spans="1:16" ht="14.1" customHeight="1" x14ac:dyDescent="0.3">
      <c r="C8" s="23" t="s">
        <v>215</v>
      </c>
      <c r="E8" s="45" t="s">
        <v>97</v>
      </c>
      <c r="G8" s="68">
        <v>1854</v>
      </c>
      <c r="H8" s="68">
        <v>8873</v>
      </c>
      <c r="I8" s="68">
        <v>16084</v>
      </c>
      <c r="J8" s="68">
        <v>25786</v>
      </c>
      <c r="K8" s="68">
        <v>35161</v>
      </c>
      <c r="L8" s="46">
        <f>'Revenue Build-up'!L18*Assumptions!L32</f>
        <v>38700.845628000017</v>
      </c>
      <c r="M8" s="46">
        <f>'Revenue Build-up'!M18*Assumptions!M32</f>
        <v>44128.240722852017</v>
      </c>
      <c r="N8" s="46">
        <f>'Revenue Build-up'!N18*Assumptions!N32</f>
        <v>51657.830348523275</v>
      </c>
      <c r="O8" s="46">
        <f>'Revenue Build-up'!O18*Assumptions!O32</f>
        <v>59533.354111970577</v>
      </c>
      <c r="P8" s="46">
        <f>'Revenue Build-up'!P18*Assumptions!P32</f>
        <v>67791.450020044096</v>
      </c>
    </row>
    <row r="9" spans="1:16" ht="14.1" customHeight="1" x14ac:dyDescent="0.3">
      <c r="C9" s="71" t="s">
        <v>216</v>
      </c>
      <c r="D9" s="72"/>
      <c r="E9" s="87" t="s">
        <v>97</v>
      </c>
      <c r="F9" s="72"/>
      <c r="G9" s="73">
        <f t="shared" ref="G9:P9" si="0">SUM(G5:G8)</f>
        <v>27100</v>
      </c>
      <c r="H9" s="73">
        <f t="shared" si="0"/>
        <v>40917</v>
      </c>
      <c r="I9" s="73">
        <f t="shared" si="0"/>
        <v>49616</v>
      </c>
      <c r="J9" s="73">
        <f t="shared" si="0"/>
        <v>58360</v>
      </c>
      <c r="K9" s="73">
        <f t="shared" si="0"/>
        <v>68642</v>
      </c>
      <c r="L9" s="73">
        <f t="shared" si="0"/>
        <v>75671.362476023089</v>
      </c>
      <c r="M9" s="73">
        <f t="shared" si="0"/>
        <v>86354.226973270343</v>
      </c>
      <c r="N9" s="73">
        <f t="shared" si="0"/>
        <v>99699.104724885139</v>
      </c>
      <c r="O9" s="73">
        <f t="shared" si="0"/>
        <v>116876.61317732086</v>
      </c>
      <c r="P9" s="73">
        <f t="shared" si="0"/>
        <v>137250.00799281092</v>
      </c>
    </row>
    <row r="10" spans="1:16" ht="4.95" customHeight="1" x14ac:dyDescent="0.3"/>
    <row r="11" spans="1:16" ht="14.1" customHeight="1" x14ac:dyDescent="0.3">
      <c r="C11" s="23" t="s">
        <v>217</v>
      </c>
      <c r="E11" s="45" t="s">
        <v>97</v>
      </c>
      <c r="G11" s="46">
        <f>'Asset Schedule'!G9</f>
        <v>18884</v>
      </c>
      <c r="H11" s="46">
        <f>'Asset Schedule'!H9</f>
        <v>23548</v>
      </c>
      <c r="I11" s="46">
        <f>'Asset Schedule'!I9</f>
        <v>29725</v>
      </c>
      <c r="J11" s="46">
        <f>'Asset Schedule'!J9</f>
        <v>35836</v>
      </c>
      <c r="K11" s="46">
        <f>'Asset Schedule'!K9</f>
        <v>40643</v>
      </c>
      <c r="L11" s="46">
        <f>'Asset Schedule'!L9</f>
        <v>44121.338060000002</v>
      </c>
      <c r="M11" s="46">
        <f>'Asset Schedule'!M9</f>
        <v>47811.110813146006</v>
      </c>
      <c r="N11" s="46">
        <f>'Asset Schedule'!N9</f>
        <v>52023.400465526109</v>
      </c>
      <c r="O11" s="46">
        <f>'Asset Schedule'!O9</f>
        <v>56562.17112622768</v>
      </c>
      <c r="P11" s="46">
        <f>'Asset Schedule'!P9</f>
        <v>60990.502603968605</v>
      </c>
    </row>
    <row r="12" spans="1:16" ht="14.1" customHeight="1" x14ac:dyDescent="0.3">
      <c r="C12" s="23" t="s">
        <v>218</v>
      </c>
      <c r="E12" s="45" t="s">
        <v>97</v>
      </c>
      <c r="G12" s="68">
        <v>2016</v>
      </c>
      <c r="H12" s="68">
        <v>2563</v>
      </c>
      <c r="I12" s="68">
        <v>4180</v>
      </c>
      <c r="J12" s="68">
        <v>5160</v>
      </c>
      <c r="K12" s="68">
        <v>6027</v>
      </c>
      <c r="L12" s="46">
        <f>'Revenue Build-up'!L18*Assumptions!L35</f>
        <v>6110.6598360000025</v>
      </c>
      <c r="M12" s="46">
        <f>'Revenue Build-up'!M18*Assumptions!M35</f>
        <v>6788.9601112080018</v>
      </c>
      <c r="N12" s="46">
        <f>'Revenue Build-up'!N18*Assumptions!N35</f>
        <v>7748.6745522784913</v>
      </c>
      <c r="O12" s="46">
        <f>'Revenue Build-up'!O18*Assumptions!O35</f>
        <v>8712.1981627274017</v>
      </c>
      <c r="P12" s="46">
        <f>'Revenue Build-up'!P18*Assumptions!P35</f>
        <v>9684.4928600062995</v>
      </c>
    </row>
    <row r="13" spans="1:16" ht="14.1" customHeight="1" x14ac:dyDescent="0.3">
      <c r="C13" s="23" t="s">
        <v>219</v>
      </c>
      <c r="E13" s="45" t="s">
        <v>97</v>
      </c>
      <c r="G13" s="68">
        <v>14131</v>
      </c>
      <c r="H13" s="68">
        <v>15310</v>
      </c>
      <c r="I13" s="68">
        <v>23097</v>
      </c>
      <c r="J13" s="68">
        <v>22714</v>
      </c>
      <c r="K13" s="68">
        <v>22494</v>
      </c>
      <c r="L13" s="46">
        <f>'Revenue Build-up'!L18*Assumptions!L37</f>
        <v>22405.752732000012</v>
      </c>
      <c r="M13" s="46">
        <f>'Revenue Build-up'!M18*Assumptions!M37</f>
        <v>23761.360389228004</v>
      </c>
      <c r="N13" s="46">
        <f>'Revenue Build-up'!N18*Assumptions!N37</f>
        <v>25828.915174261638</v>
      </c>
      <c r="O13" s="46">
        <f>'Revenue Build-up'!O18*Assumptions!O37</f>
        <v>29040.660542424677</v>
      </c>
      <c r="P13" s="46">
        <f>'Revenue Build-up'!P18*Assumptions!P37</f>
        <v>30667.560723353286</v>
      </c>
    </row>
    <row r="14" spans="1:16" ht="14.1" customHeight="1" x14ac:dyDescent="0.3">
      <c r="C14" s="83" t="s">
        <v>220</v>
      </c>
      <c r="D14" s="84"/>
      <c r="E14" s="85" t="s">
        <v>97</v>
      </c>
      <c r="F14" s="84"/>
      <c r="G14" s="86">
        <f t="shared" ref="G14:P14" si="1">G9+SUM(G11:G13)</f>
        <v>62131</v>
      </c>
      <c r="H14" s="86">
        <f t="shared" si="1"/>
        <v>82338</v>
      </c>
      <c r="I14" s="86">
        <f t="shared" si="1"/>
        <v>106618</v>
      </c>
      <c r="J14" s="86">
        <f t="shared" si="1"/>
        <v>122070</v>
      </c>
      <c r="K14" s="86">
        <f t="shared" si="1"/>
        <v>137806</v>
      </c>
      <c r="L14" s="86">
        <f t="shared" si="1"/>
        <v>148309.1131040231</v>
      </c>
      <c r="M14" s="86">
        <f t="shared" si="1"/>
        <v>164715.65828685235</v>
      </c>
      <c r="N14" s="86">
        <f t="shared" si="1"/>
        <v>185300.09491695138</v>
      </c>
      <c r="O14" s="86">
        <f t="shared" si="1"/>
        <v>211191.64300870063</v>
      </c>
      <c r="P14" s="86">
        <f t="shared" si="1"/>
        <v>238592.5641801391</v>
      </c>
    </row>
    <row r="15" spans="1:16" ht="4.95" customHeight="1" x14ac:dyDescent="0.3"/>
    <row r="16" spans="1:16" ht="16.95" customHeight="1" x14ac:dyDescent="0.3">
      <c r="A16" s="24" t="s">
        <v>221</v>
      </c>
      <c r="B16" s="25"/>
      <c r="C16" s="25"/>
      <c r="D16" s="25"/>
      <c r="E16" s="25"/>
      <c r="F16" s="25"/>
      <c r="G16" s="25"/>
      <c r="H16" s="25"/>
      <c r="I16" s="25"/>
      <c r="J16" s="25"/>
      <c r="K16" s="25"/>
      <c r="L16" s="25"/>
      <c r="M16" s="25"/>
      <c r="N16" s="25"/>
      <c r="O16" s="25"/>
      <c r="P16" s="25"/>
    </row>
    <row r="17" spans="1:16" ht="14.1" customHeight="1" x14ac:dyDescent="0.3">
      <c r="C17" s="23" t="s">
        <v>222</v>
      </c>
      <c r="E17" s="45" t="s">
        <v>97</v>
      </c>
      <c r="G17" s="68">
        <v>10025</v>
      </c>
      <c r="H17" s="68">
        <v>15255</v>
      </c>
      <c r="I17" s="68">
        <v>14431</v>
      </c>
      <c r="J17" s="68">
        <v>12474</v>
      </c>
      <c r="K17" s="68">
        <v>13371</v>
      </c>
      <c r="L17" s="46">
        <f>IS!L14/365*Assumptions!L31</f>
        <v>13873.785826663019</v>
      </c>
      <c r="M17" s="46">
        <f>IS!M14/365*Assumptions!M31</f>
        <v>15183.465369767895</v>
      </c>
      <c r="N17" s="46">
        <f>IS!N14/365*Assumptions!N31</f>
        <v>16534.388661589066</v>
      </c>
      <c r="O17" s="46">
        <f>IS!O14/365*Assumptions!O31</f>
        <v>18374.014477613629</v>
      </c>
      <c r="P17" s="46">
        <f>IS!P14/365*Assumptions!P31</f>
        <v>20233.808314078346</v>
      </c>
    </row>
    <row r="18" spans="1:16" ht="14.1" customHeight="1" x14ac:dyDescent="0.3">
      <c r="C18" s="23" t="s">
        <v>223</v>
      </c>
      <c r="E18" s="45" t="s">
        <v>97</v>
      </c>
      <c r="G18" s="68">
        <v>6644</v>
      </c>
      <c r="H18" s="68">
        <v>8205</v>
      </c>
      <c r="I18" s="68">
        <v>9080</v>
      </c>
      <c r="J18" s="68">
        <v>10723</v>
      </c>
      <c r="K18" s="68">
        <v>13279</v>
      </c>
      <c r="L18" s="46">
        <f>'Revenue Build-up'!L18*Assumptions!L33</f>
        <v>13239.762978000006</v>
      </c>
      <c r="M18" s="46">
        <f>'Revenue Build-up'!M18*Assumptions!M33</f>
        <v>14709.413574284004</v>
      </c>
      <c r="N18" s="46">
        <f>'Revenue Build-up'!N18*Assumptions!N33</f>
        <v>16143.071983913524</v>
      </c>
      <c r="O18" s="46">
        <f>'Revenue Build-up'!O18*Assumptions!O33</f>
        <v>18150.412839015422</v>
      </c>
      <c r="P18" s="46">
        <f>'Revenue Build-up'!P18*Assumptions!P33</f>
        <v>19368.985720012599</v>
      </c>
    </row>
    <row r="19" spans="1:16" ht="14.1" customHeight="1" x14ac:dyDescent="0.3">
      <c r="C19" s="23" t="s">
        <v>224</v>
      </c>
      <c r="E19" s="45" t="s">
        <v>97</v>
      </c>
      <c r="G19" s="68">
        <v>1447</v>
      </c>
      <c r="H19" s="68">
        <v>1747</v>
      </c>
      <c r="I19" s="68">
        <v>2864</v>
      </c>
      <c r="J19" s="68">
        <v>3168</v>
      </c>
      <c r="K19" s="68">
        <v>3424</v>
      </c>
      <c r="L19" s="46">
        <f>'Revenue Build-up'!L18*Assumptions!L34</f>
        <v>3564.5515710000018</v>
      </c>
      <c r="M19" s="46">
        <f>'Revenue Build-up'!M18*Assumptions!M34</f>
        <v>3960.2267315380013</v>
      </c>
      <c r="N19" s="46">
        <f>'Revenue Build-up'!N18*Assumptions!N34</f>
        <v>4520.0601554957866</v>
      </c>
      <c r="O19" s="46">
        <f>'Revenue Build-up'!O18*Assumptions!O34</f>
        <v>5082.1155949243184</v>
      </c>
      <c r="P19" s="46">
        <f>'Revenue Build-up'!P18*Assumptions!P34</f>
        <v>5649.2875016703429</v>
      </c>
    </row>
    <row r="20" spans="1:16" ht="14.1" customHeight="1" x14ac:dyDescent="0.3">
      <c r="C20" s="23" t="s">
        <v>225</v>
      </c>
      <c r="E20" s="45" t="s">
        <v>97</v>
      </c>
      <c r="G20" s="68">
        <v>1589</v>
      </c>
      <c r="H20" s="68">
        <v>1502</v>
      </c>
      <c r="I20" s="68">
        <v>2373</v>
      </c>
      <c r="J20" s="68">
        <v>2456</v>
      </c>
      <c r="K20" s="68">
        <v>1640</v>
      </c>
      <c r="L20" s="70">
        <f>K20</f>
        <v>1640</v>
      </c>
      <c r="M20" s="70">
        <f>L20</f>
        <v>1640</v>
      </c>
      <c r="N20" s="70">
        <f>M20</f>
        <v>1640</v>
      </c>
      <c r="O20" s="70">
        <f>N20</f>
        <v>1640</v>
      </c>
      <c r="P20" s="70">
        <f>O20</f>
        <v>1640</v>
      </c>
    </row>
    <row r="21" spans="1:16" ht="14.1" customHeight="1" x14ac:dyDescent="0.3">
      <c r="C21" s="71" t="s">
        <v>226</v>
      </c>
      <c r="D21" s="72"/>
      <c r="E21" s="87" t="s">
        <v>97</v>
      </c>
      <c r="F21" s="72"/>
      <c r="G21" s="73">
        <f t="shared" ref="G21:P21" si="2">SUM(G17:G20)</f>
        <v>19705</v>
      </c>
      <c r="H21" s="73">
        <f t="shared" si="2"/>
        <v>26709</v>
      </c>
      <c r="I21" s="73">
        <f t="shared" si="2"/>
        <v>28748</v>
      </c>
      <c r="J21" s="73">
        <f t="shared" si="2"/>
        <v>28821</v>
      </c>
      <c r="K21" s="73">
        <f t="shared" si="2"/>
        <v>31714</v>
      </c>
      <c r="L21" s="73">
        <f t="shared" si="2"/>
        <v>32318.100375663031</v>
      </c>
      <c r="M21" s="73">
        <f t="shared" si="2"/>
        <v>35493.105675589904</v>
      </c>
      <c r="N21" s="73">
        <f t="shared" si="2"/>
        <v>38837.520800998376</v>
      </c>
      <c r="O21" s="73">
        <f t="shared" si="2"/>
        <v>43246.54291155337</v>
      </c>
      <c r="P21" s="73">
        <f t="shared" si="2"/>
        <v>46892.081535761281</v>
      </c>
    </row>
    <row r="22" spans="1:16" ht="4.95" customHeight="1" x14ac:dyDescent="0.3"/>
    <row r="23" spans="1:16" ht="14.1" customHeight="1" x14ac:dyDescent="0.3">
      <c r="C23" s="23" t="s">
        <v>227</v>
      </c>
      <c r="E23" s="45" t="s">
        <v>97</v>
      </c>
      <c r="G23" s="68">
        <v>5245</v>
      </c>
      <c r="H23" s="68">
        <v>1597</v>
      </c>
      <c r="I23" s="68">
        <v>2857</v>
      </c>
      <c r="J23" s="68">
        <v>5757</v>
      </c>
      <c r="K23" s="68">
        <v>6736</v>
      </c>
      <c r="L23" s="46">
        <f>'Loans &amp; Other Income'!L8-L20</f>
        <v>6736</v>
      </c>
      <c r="M23" s="46">
        <f>'Loans &amp; Other Income'!M8-M20</f>
        <v>6736</v>
      </c>
      <c r="N23" s="46">
        <f>'Loans &amp; Other Income'!N8-N20</f>
        <v>6736</v>
      </c>
      <c r="O23" s="46">
        <f>'Loans &amp; Other Income'!O8-O20</f>
        <v>6736</v>
      </c>
      <c r="P23" s="46">
        <f>'Loans &amp; Other Income'!P8-P20</f>
        <v>6736</v>
      </c>
    </row>
    <row r="24" spans="1:16" ht="14.1" customHeight="1" x14ac:dyDescent="0.3">
      <c r="C24" s="23" t="s">
        <v>228</v>
      </c>
      <c r="E24" s="45" t="s">
        <v>97</v>
      </c>
      <c r="G24" s="68">
        <v>2052</v>
      </c>
      <c r="H24" s="68">
        <v>2804</v>
      </c>
      <c r="I24" s="68">
        <v>3251</v>
      </c>
      <c r="J24" s="68">
        <v>3317</v>
      </c>
      <c r="K24" s="68">
        <v>3631</v>
      </c>
      <c r="L24" s="46">
        <f>'Revenue Build-up'!L18*Assumptions!L36</f>
        <v>3564.5515710000018</v>
      </c>
      <c r="M24" s="46">
        <f>'Revenue Build-up'!M18*Assumptions!M36</f>
        <v>3960.2267315380013</v>
      </c>
      <c r="N24" s="46">
        <f>'Revenue Build-up'!N18*Assumptions!N36</f>
        <v>4520.0601554957866</v>
      </c>
      <c r="O24" s="46">
        <f>'Revenue Build-up'!O18*Assumptions!O36</f>
        <v>5082.1155949243184</v>
      </c>
      <c r="P24" s="46">
        <f>'Revenue Build-up'!P18*Assumptions!P36</f>
        <v>5649.2875016703429</v>
      </c>
    </row>
    <row r="25" spans="1:16" ht="14.1" customHeight="1" x14ac:dyDescent="0.3">
      <c r="C25" s="23" t="s">
        <v>229</v>
      </c>
      <c r="E25" s="45" t="s">
        <v>97</v>
      </c>
      <c r="G25" s="68">
        <v>4114</v>
      </c>
      <c r="H25" s="68">
        <v>5739</v>
      </c>
      <c r="I25" s="68">
        <v>8395</v>
      </c>
      <c r="J25" s="68">
        <v>10558</v>
      </c>
      <c r="K25" s="68">
        <v>12860</v>
      </c>
      <c r="L25" s="46">
        <f>'Revenue Build-up'!L18*Assumptions!L38</f>
        <v>13239.762978000006</v>
      </c>
      <c r="M25" s="46">
        <f>'Revenue Build-up'!M18*Assumptions!M38</f>
        <v>14143.666898350004</v>
      </c>
      <c r="N25" s="46">
        <f>'Revenue Build-up'!N18*Assumptions!N38</f>
        <v>15497.349104556983</v>
      </c>
      <c r="O25" s="46">
        <f>'Revenue Build-up'!O18*Assumptions!O38</f>
        <v>17424.396325454803</v>
      </c>
      <c r="P25" s="46">
        <f>'Revenue Build-up'!P18*Assumptions!P38</f>
        <v>18561.944648345412</v>
      </c>
    </row>
    <row r="26" spans="1:16" ht="14.1" customHeight="1" x14ac:dyDescent="0.3">
      <c r="C26" s="83" t="s">
        <v>230</v>
      </c>
      <c r="D26" s="84"/>
      <c r="E26" s="85" t="s">
        <v>97</v>
      </c>
      <c r="F26" s="84"/>
      <c r="G26" s="86">
        <f t="shared" ref="G26:P26" si="3">G21+SUM(G23:G25)</f>
        <v>31116</v>
      </c>
      <c r="H26" s="86">
        <f t="shared" si="3"/>
        <v>36849</v>
      </c>
      <c r="I26" s="86">
        <f t="shared" si="3"/>
        <v>43251</v>
      </c>
      <c r="J26" s="86">
        <f t="shared" si="3"/>
        <v>48453</v>
      </c>
      <c r="K26" s="86">
        <f t="shared" si="3"/>
        <v>54941</v>
      </c>
      <c r="L26" s="86">
        <f t="shared" si="3"/>
        <v>55858.41492466304</v>
      </c>
      <c r="M26" s="86">
        <f t="shared" si="3"/>
        <v>60332.999305477912</v>
      </c>
      <c r="N26" s="86">
        <f t="shared" si="3"/>
        <v>65590.930061051142</v>
      </c>
      <c r="O26" s="86">
        <f t="shared" si="3"/>
        <v>72489.054831932488</v>
      </c>
      <c r="P26" s="86">
        <f t="shared" si="3"/>
        <v>77839.313685777044</v>
      </c>
    </row>
    <row r="27" spans="1:16" ht="4.95" customHeight="1" x14ac:dyDescent="0.3"/>
    <row r="28" spans="1:16" ht="16.95" customHeight="1" x14ac:dyDescent="0.3">
      <c r="A28" s="24" t="s">
        <v>231</v>
      </c>
      <c r="B28" s="25"/>
      <c r="C28" s="25"/>
      <c r="D28" s="25"/>
      <c r="E28" s="25"/>
      <c r="F28" s="25"/>
      <c r="G28" s="25"/>
      <c r="H28" s="25"/>
      <c r="I28" s="25"/>
      <c r="J28" s="25"/>
      <c r="K28" s="25"/>
      <c r="L28" s="25"/>
      <c r="M28" s="25"/>
      <c r="N28" s="25"/>
      <c r="O28" s="25"/>
      <c r="P28" s="25"/>
    </row>
    <row r="29" spans="1:16" ht="14.1" customHeight="1" x14ac:dyDescent="0.3">
      <c r="C29" s="23" t="s">
        <v>232</v>
      </c>
      <c r="E29" s="45" t="s">
        <v>97</v>
      </c>
      <c r="G29" s="68">
        <v>29806</v>
      </c>
      <c r="H29" s="68">
        <v>32180</v>
      </c>
      <c r="I29" s="68">
        <v>34895</v>
      </c>
      <c r="J29" s="68">
        <v>38374</v>
      </c>
      <c r="K29" s="68">
        <v>42773</v>
      </c>
      <c r="L29" s="46">
        <f>K29+'Equity Schedule'!L6</f>
        <v>46846.773224000004</v>
      </c>
      <c r="M29" s="46">
        <f>L29+'Equity Schedule'!M6</f>
        <v>51372.746631472008</v>
      </c>
      <c r="N29" s="46">
        <f>M29+'Equity Schedule'!N6</f>
        <v>56280.240514581717</v>
      </c>
      <c r="O29" s="46">
        <f>N29+'Equity Schedule'!O6</f>
        <v>61797.966017642408</v>
      </c>
      <c r="P29" s="46">
        <f>O29+'Equity Schedule'!P6</f>
        <v>67447.253519312755</v>
      </c>
    </row>
    <row r="30" spans="1:16" ht="14.1" customHeight="1" x14ac:dyDescent="0.3">
      <c r="C30" s="23" t="s">
        <v>233</v>
      </c>
      <c r="E30" s="45" t="s">
        <v>97</v>
      </c>
      <c r="G30" s="68">
        <v>54</v>
      </c>
      <c r="H30" s="68">
        <v>-361</v>
      </c>
      <c r="I30" s="68">
        <v>-143</v>
      </c>
      <c r="J30" s="68">
        <v>-670</v>
      </c>
      <c r="K30" s="68">
        <v>361</v>
      </c>
      <c r="L30" s="70">
        <f>K30</f>
        <v>361</v>
      </c>
      <c r="M30" s="70">
        <f>L30</f>
        <v>361</v>
      </c>
      <c r="N30" s="70">
        <f>M30</f>
        <v>361</v>
      </c>
      <c r="O30" s="70">
        <f>N30</f>
        <v>361</v>
      </c>
      <c r="P30" s="70">
        <f>O30</f>
        <v>361</v>
      </c>
    </row>
    <row r="31" spans="1:16" ht="14.1" customHeight="1" x14ac:dyDescent="0.3">
      <c r="C31" s="23" t="s">
        <v>234</v>
      </c>
      <c r="E31" s="45" t="s">
        <v>97</v>
      </c>
      <c r="G31" s="68">
        <v>329</v>
      </c>
      <c r="H31" s="68">
        <v>12885</v>
      </c>
      <c r="I31" s="68">
        <v>27882</v>
      </c>
      <c r="J31" s="68">
        <v>35209</v>
      </c>
      <c r="K31" s="68">
        <v>39003</v>
      </c>
      <c r="L31" s="46">
        <f>K31+IS!L43</f>
        <v>44514.924955360002</v>
      </c>
      <c r="M31" s="46">
        <f>L31+IS!M43</f>
        <v>51920.91234990237</v>
      </c>
      <c r="N31" s="46">
        <f>M31+IS!N43</f>
        <v>62339.924341318452</v>
      </c>
      <c r="O31" s="46">
        <f>N31+IS!O43</f>
        <v>75815.622159125662</v>
      </c>
      <c r="P31" s="46">
        <f>O31+IS!P43</f>
        <v>92216.996975049246</v>
      </c>
    </row>
    <row r="32" spans="1:16" ht="14.1" customHeight="1" x14ac:dyDescent="0.3">
      <c r="C32" s="23" t="s">
        <v>235</v>
      </c>
      <c r="E32" s="45" t="s">
        <v>97</v>
      </c>
      <c r="G32" s="68">
        <v>826</v>
      </c>
      <c r="H32" s="68">
        <v>785</v>
      </c>
      <c r="I32" s="68">
        <v>733</v>
      </c>
      <c r="J32" s="68">
        <v>704</v>
      </c>
      <c r="K32" s="68">
        <v>728</v>
      </c>
      <c r="L32" s="70">
        <f>K32</f>
        <v>728</v>
      </c>
      <c r="M32" s="70">
        <f>L32</f>
        <v>728</v>
      </c>
      <c r="N32" s="70">
        <f>M32</f>
        <v>728</v>
      </c>
      <c r="O32" s="70">
        <f>N32</f>
        <v>728</v>
      </c>
      <c r="P32" s="70">
        <f>O32</f>
        <v>728</v>
      </c>
    </row>
    <row r="33" spans="3:16" ht="14.1" customHeight="1" x14ac:dyDescent="0.3">
      <c r="C33" s="83" t="s">
        <v>236</v>
      </c>
      <c r="D33" s="84"/>
      <c r="E33" s="85" t="s">
        <v>97</v>
      </c>
      <c r="F33" s="84"/>
      <c r="G33" s="86">
        <f t="shared" ref="G33:P33" si="4">SUM(G29:G32)</f>
        <v>31015</v>
      </c>
      <c r="H33" s="86">
        <f t="shared" si="4"/>
        <v>45489</v>
      </c>
      <c r="I33" s="86">
        <f t="shared" si="4"/>
        <v>63367</v>
      </c>
      <c r="J33" s="86">
        <f t="shared" si="4"/>
        <v>73617</v>
      </c>
      <c r="K33" s="86">
        <f t="shared" si="4"/>
        <v>82865</v>
      </c>
      <c r="L33" s="86">
        <f t="shared" si="4"/>
        <v>92450.698179360013</v>
      </c>
      <c r="M33" s="86">
        <f t="shared" si="4"/>
        <v>104382.65898137438</v>
      </c>
      <c r="N33" s="86">
        <f t="shared" si="4"/>
        <v>119709.16485590016</v>
      </c>
      <c r="O33" s="86">
        <f t="shared" si="4"/>
        <v>138702.58817676807</v>
      </c>
      <c r="P33" s="86">
        <f t="shared" si="4"/>
        <v>160753.250494362</v>
      </c>
    </row>
    <row r="34" spans="3:16" ht="4.95" customHeight="1" x14ac:dyDescent="0.3"/>
    <row r="35" spans="3:16" ht="14.1" customHeight="1" x14ac:dyDescent="0.3">
      <c r="C35" s="74" t="s">
        <v>237</v>
      </c>
      <c r="D35" s="75"/>
      <c r="E35" s="76" t="s">
        <v>97</v>
      </c>
      <c r="F35" s="75"/>
      <c r="G35" s="77">
        <f t="shared" ref="G35:P35" si="5">G26+G33</f>
        <v>62131</v>
      </c>
      <c r="H35" s="77">
        <f t="shared" si="5"/>
        <v>82338</v>
      </c>
      <c r="I35" s="77">
        <f t="shared" si="5"/>
        <v>106618</v>
      </c>
      <c r="J35" s="77">
        <f t="shared" si="5"/>
        <v>122070</v>
      </c>
      <c r="K35" s="77">
        <f t="shared" si="5"/>
        <v>137806</v>
      </c>
      <c r="L35" s="77">
        <f t="shared" si="5"/>
        <v>148309.11310402304</v>
      </c>
      <c r="M35" s="77">
        <f t="shared" si="5"/>
        <v>164715.6582868523</v>
      </c>
      <c r="N35" s="77">
        <f t="shared" si="5"/>
        <v>185300.09491695132</v>
      </c>
      <c r="O35" s="77">
        <f t="shared" si="5"/>
        <v>211191.64300870057</v>
      </c>
      <c r="P35" s="77">
        <f t="shared" si="5"/>
        <v>238592.56418013904</v>
      </c>
    </row>
    <row r="36" spans="3:16" ht="14.1" customHeight="1" x14ac:dyDescent="0.3">
      <c r="C36" s="44" t="s">
        <v>238</v>
      </c>
      <c r="G36" s="91">
        <f t="shared" ref="G36:P36" si="6">G14-G35</f>
        <v>0</v>
      </c>
      <c r="H36" s="91">
        <f t="shared" si="6"/>
        <v>0</v>
      </c>
      <c r="I36" s="91">
        <f t="shared" si="6"/>
        <v>0</v>
      </c>
      <c r="J36" s="91">
        <f t="shared" si="6"/>
        <v>0</v>
      </c>
      <c r="K36" s="91">
        <f t="shared" si="6"/>
        <v>0</v>
      </c>
      <c r="L36" s="91">
        <f t="shared" si="6"/>
        <v>0</v>
      </c>
      <c r="M36" s="91">
        <f t="shared" si="6"/>
        <v>0</v>
      </c>
      <c r="N36" s="91">
        <f t="shared" si="6"/>
        <v>0</v>
      </c>
      <c r="O36" s="91">
        <f t="shared" si="6"/>
        <v>0</v>
      </c>
      <c r="P36" s="91">
        <f t="shared" si="6"/>
        <v>0</v>
      </c>
    </row>
    <row r="37" spans="3:16" ht="16.05" customHeight="1" x14ac:dyDescent="0.3">
      <c r="C37" s="92" t="s">
        <v>239</v>
      </c>
      <c r="G37" s="93" t="str">
        <f t="shared" ref="G37:P37" si="7">IF(ABS(G36)&lt;0.5,"PASS","FAIL")</f>
        <v>PASS</v>
      </c>
      <c r="H37" s="93" t="str">
        <f t="shared" si="7"/>
        <v>PASS</v>
      </c>
      <c r="I37" s="93" t="str">
        <f t="shared" si="7"/>
        <v>PASS</v>
      </c>
      <c r="J37" s="93" t="str">
        <f t="shared" si="7"/>
        <v>PASS</v>
      </c>
      <c r="K37" s="93" t="str">
        <f t="shared" si="7"/>
        <v>PASS</v>
      </c>
      <c r="L37" s="93" t="str">
        <f t="shared" si="7"/>
        <v>PASS</v>
      </c>
      <c r="M37" s="93" t="str">
        <f t="shared" si="7"/>
        <v>PASS</v>
      </c>
      <c r="N37" s="93" t="str">
        <f t="shared" si="7"/>
        <v>PASS</v>
      </c>
      <c r="O37" s="93" t="str">
        <f t="shared" si="7"/>
        <v>PASS</v>
      </c>
      <c r="P37" s="93" t="str">
        <f t="shared" si="7"/>
        <v>PASS</v>
      </c>
    </row>
  </sheetData>
  <mergeCells count="4">
    <mergeCell ref="A1:D1"/>
    <mergeCell ref="E1:F1"/>
    <mergeCell ref="G1:P1"/>
    <mergeCell ref="A2:P2"/>
  </mergeCells>
  <hyperlinks>
    <hyperlink ref="E1" location="Cover!A1" display="◄  Cover"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DADD"/>
  </sheetPr>
  <dimension ref="A1:P11"/>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240</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241</v>
      </c>
      <c r="B4" s="25"/>
      <c r="C4" s="25"/>
      <c r="D4" s="25"/>
      <c r="E4" s="25"/>
      <c r="F4" s="25"/>
      <c r="G4" s="25"/>
      <c r="H4" s="25"/>
      <c r="I4" s="25"/>
      <c r="J4" s="25"/>
      <c r="K4" s="25"/>
      <c r="L4" s="25"/>
      <c r="M4" s="25"/>
      <c r="N4" s="25"/>
      <c r="O4" s="25"/>
      <c r="P4" s="25"/>
    </row>
    <row r="5" spans="1:16" ht="14.1" customHeight="1" x14ac:dyDescent="0.3">
      <c r="C5" s="23" t="s">
        <v>242</v>
      </c>
      <c r="E5" s="45" t="s">
        <v>97</v>
      </c>
      <c r="G5" s="68">
        <v>12747</v>
      </c>
      <c r="H5" s="70">
        <f t="shared" ref="H5:P5" si="0">G9</f>
        <v>18884</v>
      </c>
      <c r="I5" s="70">
        <f t="shared" si="0"/>
        <v>23548</v>
      </c>
      <c r="J5" s="70">
        <f t="shared" si="0"/>
        <v>29725</v>
      </c>
      <c r="K5" s="70">
        <f t="shared" si="0"/>
        <v>35836</v>
      </c>
      <c r="L5" s="70">
        <f t="shared" si="0"/>
        <v>40643</v>
      </c>
      <c r="M5" s="70">
        <f t="shared" si="0"/>
        <v>44121.338060000002</v>
      </c>
      <c r="N5" s="70">
        <f t="shared" si="0"/>
        <v>47811.110813146006</v>
      </c>
      <c r="O5" s="70">
        <f t="shared" si="0"/>
        <v>52023.400465526109</v>
      </c>
      <c r="P5" s="70">
        <f t="shared" si="0"/>
        <v>56562.17112622768</v>
      </c>
    </row>
    <row r="6" spans="1:16" ht="14.1" customHeight="1" x14ac:dyDescent="0.3">
      <c r="C6" s="23" t="s">
        <v>243</v>
      </c>
      <c r="E6" s="45" t="s">
        <v>97</v>
      </c>
      <c r="G6" s="68">
        <v>6482</v>
      </c>
      <c r="H6" s="68">
        <v>7158</v>
      </c>
      <c r="I6" s="68">
        <v>8899</v>
      </c>
      <c r="J6" s="68">
        <v>11342</v>
      </c>
      <c r="K6" s="68">
        <v>8527</v>
      </c>
      <c r="L6" s="46">
        <f>'Revenue Build-up'!L18*Assumptions!L41</f>
        <v>10184.433060000005</v>
      </c>
      <c r="M6" s="46">
        <f>'Revenue Build-up'!M18*Assumptions!M41</f>
        <v>10749.186842746003</v>
      </c>
      <c r="N6" s="46">
        <f>'Revenue Build-up'!N18*Assumptions!N41</f>
        <v>11623.011828417737</v>
      </c>
      <c r="O6" s="46">
        <f>'Revenue Build-up'!O18*Assumptions!O41</f>
        <v>12342.280730530489</v>
      </c>
      <c r="P6" s="46">
        <f>'Revenue Build-up'!P18*Assumptions!P41</f>
        <v>12912.657146675068</v>
      </c>
    </row>
    <row r="7" spans="1:16" ht="14.1" customHeight="1" x14ac:dyDescent="0.3">
      <c r="C7" s="23" t="s">
        <v>244</v>
      </c>
      <c r="E7" s="45" t="s">
        <v>97</v>
      </c>
      <c r="G7" s="68">
        <v>2911</v>
      </c>
      <c r="H7" s="68">
        <v>3747</v>
      </c>
      <c r="I7" s="68">
        <v>4667</v>
      </c>
      <c r="J7" s="68">
        <v>5368</v>
      </c>
      <c r="K7" s="68">
        <v>6148</v>
      </c>
      <c r="L7" s="46">
        <f>L5*Assumptions!L42</f>
        <v>6706.0950000000003</v>
      </c>
      <c r="M7" s="46">
        <f>M5*Assumptions!M42</f>
        <v>7059.4140896000008</v>
      </c>
      <c r="N7" s="46">
        <f>N5*Assumptions!N42</f>
        <v>7410.7221760376306</v>
      </c>
      <c r="O7" s="46">
        <f>O5*Assumptions!O42</f>
        <v>7803.5100698289161</v>
      </c>
      <c r="P7" s="46">
        <f>P5*Assumptions!P42</f>
        <v>8484.3256689341524</v>
      </c>
    </row>
    <row r="8" spans="1:16" ht="14.1" customHeight="1" x14ac:dyDescent="0.3">
      <c r="C8" s="23" t="s">
        <v>245</v>
      </c>
      <c r="E8" s="45" t="s">
        <v>97</v>
      </c>
      <c r="G8" s="70">
        <f>18884-G5-G6+G7</f>
        <v>2566</v>
      </c>
      <c r="H8" s="70">
        <f>23548-H5-H6+H7</f>
        <v>1253</v>
      </c>
      <c r="I8" s="70">
        <f>29725-I5-I6+I7</f>
        <v>1945</v>
      </c>
      <c r="J8" s="70">
        <f>35836-J5-J6+J7</f>
        <v>137</v>
      </c>
      <c r="K8" s="70">
        <f>40643-K5-K6+K7</f>
        <v>2428</v>
      </c>
      <c r="L8" s="68">
        <v>0</v>
      </c>
      <c r="M8" s="68">
        <v>0</v>
      </c>
      <c r="N8" s="68">
        <v>0</v>
      </c>
      <c r="O8" s="68">
        <v>0</v>
      </c>
      <c r="P8" s="68">
        <v>0</v>
      </c>
    </row>
    <row r="9" spans="1:16" ht="14.1" customHeight="1" x14ac:dyDescent="0.3">
      <c r="C9" s="83" t="s">
        <v>246</v>
      </c>
      <c r="D9" s="84"/>
      <c r="E9" s="85" t="s">
        <v>97</v>
      </c>
      <c r="F9" s="84"/>
      <c r="G9" s="86">
        <f t="shared" ref="G9:P9" si="1">G5+G6-G7+G8</f>
        <v>18884</v>
      </c>
      <c r="H9" s="86">
        <f t="shared" si="1"/>
        <v>23548</v>
      </c>
      <c r="I9" s="86">
        <f t="shared" si="1"/>
        <v>29725</v>
      </c>
      <c r="J9" s="86">
        <f t="shared" si="1"/>
        <v>35836</v>
      </c>
      <c r="K9" s="86">
        <f t="shared" si="1"/>
        <v>40643</v>
      </c>
      <c r="L9" s="86">
        <f t="shared" si="1"/>
        <v>44121.338060000002</v>
      </c>
      <c r="M9" s="86">
        <f t="shared" si="1"/>
        <v>47811.110813146006</v>
      </c>
      <c r="N9" s="86">
        <f t="shared" si="1"/>
        <v>52023.400465526109</v>
      </c>
      <c r="O9" s="86">
        <f t="shared" si="1"/>
        <v>56562.17112622768</v>
      </c>
      <c r="P9" s="86">
        <f t="shared" si="1"/>
        <v>60990.502603968605</v>
      </c>
    </row>
    <row r="10" spans="1:16" ht="4.95" customHeight="1" x14ac:dyDescent="0.3"/>
    <row r="11" spans="1:16" ht="14.1" customHeight="1" x14ac:dyDescent="0.3">
      <c r="C11" s="44" t="s">
        <v>127</v>
      </c>
      <c r="G11" s="78">
        <f t="shared" ref="G11:P11" si="2">G7/G5</f>
        <v>0.22836745900996314</v>
      </c>
      <c r="H11" s="78">
        <f t="shared" si="2"/>
        <v>0.19842194450328321</v>
      </c>
      <c r="I11" s="78">
        <f t="shared" si="2"/>
        <v>0.1981909291659589</v>
      </c>
      <c r="J11" s="78">
        <f t="shared" si="2"/>
        <v>0.18058873002523129</v>
      </c>
      <c r="K11" s="78">
        <f t="shared" si="2"/>
        <v>0.17155932581761357</v>
      </c>
      <c r="L11" s="78">
        <f t="shared" si="2"/>
        <v>0.16500000000000001</v>
      </c>
      <c r="M11" s="78">
        <f t="shared" si="2"/>
        <v>0.16</v>
      </c>
      <c r="N11" s="78">
        <f t="shared" si="2"/>
        <v>0.155</v>
      </c>
      <c r="O11" s="78">
        <f t="shared" si="2"/>
        <v>0.15</v>
      </c>
      <c r="P11" s="78">
        <f t="shared" si="2"/>
        <v>0.15</v>
      </c>
    </row>
  </sheetData>
  <mergeCells count="4">
    <mergeCell ref="A1:D1"/>
    <mergeCell ref="E1:F1"/>
    <mergeCell ref="G1:P1"/>
    <mergeCell ref="A2:P2"/>
  </mergeCells>
  <hyperlinks>
    <hyperlink ref="E1" location="Cover!A1" display="◄  Cover"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DADD"/>
  </sheetPr>
  <dimension ref="A1:P16"/>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128</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247</v>
      </c>
      <c r="B4" s="25"/>
      <c r="C4" s="25"/>
      <c r="D4" s="25"/>
      <c r="E4" s="25"/>
      <c r="F4" s="25"/>
      <c r="G4" s="25"/>
      <c r="H4" s="25"/>
      <c r="I4" s="25"/>
      <c r="J4" s="25"/>
      <c r="K4" s="25"/>
      <c r="L4" s="25"/>
      <c r="M4" s="25"/>
      <c r="N4" s="25"/>
      <c r="O4" s="25"/>
      <c r="P4" s="25"/>
    </row>
    <row r="5" spans="1:16" ht="14.1" customHeight="1" x14ac:dyDescent="0.3">
      <c r="C5" s="23" t="s">
        <v>248</v>
      </c>
      <c r="E5" s="45" t="s">
        <v>97</v>
      </c>
      <c r="G5" s="68">
        <v>11688</v>
      </c>
      <c r="H5" s="70">
        <f t="shared" ref="H5:P5" si="0">G8</f>
        <v>6834</v>
      </c>
      <c r="I5" s="70">
        <f t="shared" si="0"/>
        <v>3099</v>
      </c>
      <c r="J5" s="70">
        <f t="shared" si="0"/>
        <v>5230</v>
      </c>
      <c r="K5" s="70">
        <f t="shared" si="0"/>
        <v>8213</v>
      </c>
      <c r="L5" s="70">
        <f t="shared" si="0"/>
        <v>8376</v>
      </c>
      <c r="M5" s="70">
        <f t="shared" si="0"/>
        <v>8376</v>
      </c>
      <c r="N5" s="70">
        <f t="shared" si="0"/>
        <v>8376</v>
      </c>
      <c r="O5" s="70">
        <f t="shared" si="0"/>
        <v>8376</v>
      </c>
      <c r="P5" s="70">
        <f t="shared" si="0"/>
        <v>8376</v>
      </c>
    </row>
    <row r="6" spans="1:16" ht="14.1" customHeight="1" x14ac:dyDescent="0.3">
      <c r="C6" s="23" t="s">
        <v>249</v>
      </c>
      <c r="E6" s="45" t="s">
        <v>97</v>
      </c>
      <c r="G6" s="68">
        <v>-5284</v>
      </c>
      <c r="H6" s="68">
        <v>-3364</v>
      </c>
      <c r="I6" s="68">
        <v>2580</v>
      </c>
      <c r="J6" s="68">
        <v>3244</v>
      </c>
      <c r="K6" s="68">
        <v>40</v>
      </c>
      <c r="L6" s="68">
        <v>0</v>
      </c>
      <c r="M6" s="68">
        <v>0</v>
      </c>
      <c r="N6" s="68">
        <v>0</v>
      </c>
      <c r="O6" s="68">
        <v>0</v>
      </c>
      <c r="P6" s="68">
        <v>0</v>
      </c>
    </row>
    <row r="7" spans="1:16" ht="4.95" customHeight="1" x14ac:dyDescent="0.3"/>
    <row r="8" spans="1:16" ht="14.1" customHeight="1" x14ac:dyDescent="0.3">
      <c r="C8" s="83" t="s">
        <v>250</v>
      </c>
      <c r="D8" s="84"/>
      <c r="E8" s="85" t="s">
        <v>97</v>
      </c>
      <c r="F8" s="84"/>
      <c r="G8" s="94">
        <v>6834</v>
      </c>
      <c r="H8" s="94">
        <v>3099</v>
      </c>
      <c r="I8" s="94">
        <v>5230</v>
      </c>
      <c r="J8" s="94">
        <v>8213</v>
      </c>
      <c r="K8" s="94">
        <v>8376</v>
      </c>
      <c r="L8" s="86">
        <f>L5+L6</f>
        <v>8376</v>
      </c>
      <c r="M8" s="86">
        <f>M5+M6</f>
        <v>8376</v>
      </c>
      <c r="N8" s="86">
        <f>N5+N6</f>
        <v>8376</v>
      </c>
      <c r="O8" s="86">
        <f>O5+O6</f>
        <v>8376</v>
      </c>
      <c r="P8" s="86">
        <f>P5+P6</f>
        <v>8376</v>
      </c>
    </row>
    <row r="9" spans="1:16" ht="4.95" customHeight="1" x14ac:dyDescent="0.3"/>
    <row r="10" spans="1:16" ht="14.1" customHeight="1" x14ac:dyDescent="0.3">
      <c r="C10" s="23" t="s">
        <v>130</v>
      </c>
      <c r="G10" s="47">
        <f>Assumptions!G45</f>
        <v>3.17419575633128E-2</v>
      </c>
      <c r="H10" s="47">
        <f>Assumptions!H45</f>
        <v>2.7948492829967808E-2</v>
      </c>
      <c r="I10" s="47">
        <f>Assumptions!I45</f>
        <v>5.033881897386254E-2</v>
      </c>
      <c r="J10" s="47">
        <f>Assumptions!J45</f>
        <v>6.6921606118546847E-2</v>
      </c>
      <c r="K10" s="47">
        <f>Assumptions!K45</f>
        <v>4.1154267624497747E-2</v>
      </c>
      <c r="L10" s="47">
        <f>Assumptions!L45</f>
        <v>0.05</v>
      </c>
      <c r="M10" s="47">
        <f>Assumptions!M45</f>
        <v>0.05</v>
      </c>
      <c r="N10" s="47">
        <f>Assumptions!N45</f>
        <v>0.05</v>
      </c>
      <c r="O10" s="47">
        <f>Assumptions!O45</f>
        <v>0.05</v>
      </c>
      <c r="P10" s="47">
        <f>Assumptions!P45</f>
        <v>0.05</v>
      </c>
    </row>
    <row r="11" spans="1:16" ht="14.1" customHeight="1" x14ac:dyDescent="0.3">
      <c r="C11" s="23" t="s">
        <v>251</v>
      </c>
      <c r="E11" s="45" t="s">
        <v>97</v>
      </c>
      <c r="G11" s="81">
        <v>371</v>
      </c>
      <c r="H11" s="81">
        <v>191</v>
      </c>
      <c r="I11" s="81">
        <v>156</v>
      </c>
      <c r="J11" s="81">
        <v>350</v>
      </c>
      <c r="K11" s="81">
        <v>338</v>
      </c>
      <c r="L11" s="82">
        <f>AVERAGE(K8,L8)*L10</f>
        <v>418.8</v>
      </c>
      <c r="M11" s="82">
        <f>AVERAGE(L8,M8)*M10</f>
        <v>418.8</v>
      </c>
      <c r="N11" s="82">
        <f>AVERAGE(M8,N8)*N10</f>
        <v>418.8</v>
      </c>
      <c r="O11" s="82">
        <f>AVERAGE(N8,O8)*O10</f>
        <v>418.8</v>
      </c>
      <c r="P11" s="82">
        <f>AVERAGE(O8,P8)*P10</f>
        <v>418.8</v>
      </c>
    </row>
    <row r="12" spans="1:16" ht="4.95" customHeight="1" x14ac:dyDescent="0.3"/>
    <row r="13" spans="1:16" ht="16.95" customHeight="1" x14ac:dyDescent="0.3">
      <c r="A13" s="24" t="s">
        <v>252</v>
      </c>
      <c r="B13" s="25"/>
      <c r="C13" s="25"/>
      <c r="D13" s="25"/>
      <c r="E13" s="25"/>
      <c r="F13" s="25"/>
      <c r="G13" s="25"/>
      <c r="H13" s="25"/>
      <c r="I13" s="25"/>
      <c r="J13" s="25"/>
      <c r="K13" s="25"/>
      <c r="L13" s="25"/>
      <c r="M13" s="25"/>
      <c r="N13" s="25"/>
      <c r="O13" s="25"/>
      <c r="P13" s="25"/>
    </row>
    <row r="14" spans="1:16" ht="14.1" customHeight="1" x14ac:dyDescent="0.3">
      <c r="C14" s="23" t="s">
        <v>253</v>
      </c>
      <c r="E14" s="45" t="s">
        <v>97</v>
      </c>
      <c r="G14" s="46">
        <f>AVERAGE(19384,BS!G5)</f>
        <v>18480</v>
      </c>
      <c r="H14" s="46">
        <f>AVERAGE(BS!G5,BS!H5)</f>
        <v>16914.5</v>
      </c>
      <c r="I14" s="46">
        <f>AVERAGE(BS!H5,BS!I5)</f>
        <v>16325.5</v>
      </c>
      <c r="J14" s="46">
        <f>AVERAGE(BS!I5,BS!J5)</f>
        <v>16268.5</v>
      </c>
      <c r="K14" s="46">
        <f>AVERAGE(BS!J5,BS!K5)</f>
        <v>16326</v>
      </c>
      <c r="L14" s="46">
        <f>BS!K5</f>
        <v>16513</v>
      </c>
      <c r="M14" s="46">
        <f>BS!L5</f>
        <v>19640.666056160051</v>
      </c>
      <c r="N14" s="46">
        <f>BS!M5</f>
        <v>23666.605090602647</v>
      </c>
      <c r="O14" s="46">
        <f>BS!N5</f>
        <v>28247.664309570322</v>
      </c>
      <c r="P14" s="46">
        <f>BS!O5</f>
        <v>35881.153932283778</v>
      </c>
    </row>
    <row r="15" spans="1:16" ht="14.1" customHeight="1" x14ac:dyDescent="0.3">
      <c r="C15" s="23" t="s">
        <v>131</v>
      </c>
      <c r="G15" s="47">
        <f>Assumptions!G46</f>
        <v>3.0303030303030303E-3</v>
      </c>
      <c r="H15" s="47">
        <f>Assumptions!H46</f>
        <v>1.755889916935174E-2</v>
      </c>
      <c r="I15" s="47">
        <f>Assumptions!I46</f>
        <v>6.5296621849254236E-2</v>
      </c>
      <c r="J15" s="47">
        <f>Assumptions!J46</f>
        <v>9.6444048314226885E-2</v>
      </c>
      <c r="K15" s="47">
        <f>Assumptions!K46</f>
        <v>0.10290334435869165</v>
      </c>
      <c r="L15" s="47">
        <f>Assumptions!L46</f>
        <v>4.4999999999999998E-2</v>
      </c>
      <c r="M15" s="47">
        <f>Assumptions!M46</f>
        <v>4.4999999999999998E-2</v>
      </c>
      <c r="N15" s="47">
        <f>Assumptions!N46</f>
        <v>4.4999999999999998E-2</v>
      </c>
      <c r="O15" s="47">
        <f>Assumptions!O46</f>
        <v>0.04</v>
      </c>
      <c r="P15" s="47">
        <f>Assumptions!P46</f>
        <v>0.04</v>
      </c>
    </row>
    <row r="16" spans="1:16" ht="14.1" customHeight="1" x14ac:dyDescent="0.3">
      <c r="C16" s="71" t="s">
        <v>254</v>
      </c>
      <c r="D16" s="72"/>
      <c r="E16" s="87" t="s">
        <v>97</v>
      </c>
      <c r="F16" s="72"/>
      <c r="G16" s="95">
        <v>56</v>
      </c>
      <c r="H16" s="95">
        <v>297</v>
      </c>
      <c r="I16" s="95">
        <v>1066</v>
      </c>
      <c r="J16" s="95">
        <v>1569</v>
      </c>
      <c r="K16" s="95">
        <v>1680</v>
      </c>
      <c r="L16" s="73">
        <f>L14*L15</f>
        <v>743.08499999999992</v>
      </c>
      <c r="M16" s="73">
        <f>M14*M15</f>
        <v>883.82997252720224</v>
      </c>
      <c r="N16" s="73">
        <f>N14*N15</f>
        <v>1064.9972290771191</v>
      </c>
      <c r="O16" s="73">
        <f>O14*O15</f>
        <v>1129.906572382813</v>
      </c>
      <c r="P16" s="73">
        <f>P14*P15</f>
        <v>1435.2461572913512</v>
      </c>
    </row>
  </sheetData>
  <mergeCells count="4">
    <mergeCell ref="A1:D1"/>
    <mergeCell ref="E1:F1"/>
    <mergeCell ref="G1:P1"/>
    <mergeCell ref="A2:P2"/>
  </mergeCells>
  <hyperlinks>
    <hyperlink ref="E1" location="Cover!A1" display="◄  Cover"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9DADD"/>
  </sheetPr>
  <dimension ref="A1:P7"/>
  <sheetViews>
    <sheetView showGridLines="0" workbookViewId="0">
      <pane xSplit="6" ySplit="3" topLeftCell="G4" activePane="bottomRight" state="frozen"/>
      <selection pane="topRight" activeCell="G1" sqref="G1"/>
      <selection pane="bottomLeft" activeCell="A4" sqref="A4"/>
      <selection pane="bottomRight" activeCell="C11" sqref="C11"/>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255</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4.1" customHeight="1" x14ac:dyDescent="0.3">
      <c r="C4" s="23" t="s">
        <v>200</v>
      </c>
      <c r="E4" s="45" t="s">
        <v>97</v>
      </c>
      <c r="G4" s="46">
        <f>IS!G37</f>
        <v>6342.9999999999782</v>
      </c>
      <c r="H4" s="46">
        <f>IS!H37</f>
        <v>13718.999999999985</v>
      </c>
      <c r="I4" s="46">
        <f>IS!I37</f>
        <v>9973.0000000000873</v>
      </c>
      <c r="J4" s="46">
        <f>IS!J37</f>
        <v>8989.9999999999854</v>
      </c>
      <c r="K4" s="46">
        <f>IS!K37</f>
        <v>5278.0000000000291</v>
      </c>
      <c r="L4" s="46">
        <f>IS!L37</f>
        <v>7252.5328360000021</v>
      </c>
      <c r="M4" s="46">
        <f>IS!M37</f>
        <v>9744.7202559768029</v>
      </c>
      <c r="N4" s="46">
        <f>IS!N37</f>
        <v>13709.226304494845</v>
      </c>
      <c r="O4" s="46">
        <f>IS!O37</f>
        <v>17731.181339220013</v>
      </c>
      <c r="P4" s="46">
        <f>IS!P37</f>
        <v>21580.756336741553</v>
      </c>
    </row>
    <row r="5" spans="1:16" ht="14.1" customHeight="1" x14ac:dyDescent="0.3">
      <c r="C5" s="23" t="s">
        <v>133</v>
      </c>
      <c r="G5" s="78">
        <f>G6/G4</f>
        <v>0.11020022071575003</v>
      </c>
      <c r="H5" s="78">
        <f>H6/H4</f>
        <v>8.2513302718857151E-2</v>
      </c>
      <c r="I5" s="78">
        <f>I6/I4</f>
        <v>-0.50145392559911328</v>
      </c>
      <c r="J5" s="78">
        <f>J6/J4</f>
        <v>0.20433815350389353</v>
      </c>
      <c r="K5" s="78">
        <f>K6/K4</f>
        <v>0.26960970064418194</v>
      </c>
      <c r="L5" s="47">
        <f>Assumptions!L49</f>
        <v>0.24</v>
      </c>
      <c r="M5" s="47">
        <f>Assumptions!M49</f>
        <v>0.24</v>
      </c>
      <c r="N5" s="47">
        <f>Assumptions!N49</f>
        <v>0.24</v>
      </c>
      <c r="O5" s="47">
        <f>Assumptions!O49</f>
        <v>0.24</v>
      </c>
      <c r="P5" s="47">
        <f>Assumptions!P49</f>
        <v>0.24</v>
      </c>
    </row>
    <row r="6" spans="1:16" ht="14.1" customHeight="1" x14ac:dyDescent="0.3">
      <c r="C6" s="83" t="s">
        <v>256</v>
      </c>
      <c r="D6" s="84"/>
      <c r="E6" s="85" t="s">
        <v>97</v>
      </c>
      <c r="F6" s="84"/>
      <c r="G6" s="94">
        <v>699</v>
      </c>
      <c r="H6" s="94">
        <v>1132</v>
      </c>
      <c r="I6" s="94">
        <v>-5001</v>
      </c>
      <c r="J6" s="94">
        <v>1837</v>
      </c>
      <c r="K6" s="94">
        <v>1423</v>
      </c>
      <c r="L6" s="86">
        <f>L4*L5</f>
        <v>1740.6078806400005</v>
      </c>
      <c r="M6" s="86">
        <f>M4*M5</f>
        <v>2338.7328614344328</v>
      </c>
      <c r="N6" s="86">
        <f>N4*N5</f>
        <v>3290.2143130787626</v>
      </c>
      <c r="O6" s="86">
        <f>O4*O5</f>
        <v>4255.4835214128034</v>
      </c>
      <c r="P6" s="86">
        <f>P4*P5</f>
        <v>5179.3815208179722</v>
      </c>
    </row>
    <row r="7" spans="1:16" ht="14.1" customHeight="1" x14ac:dyDescent="0.3">
      <c r="C7" s="44" t="s">
        <v>257</v>
      </c>
      <c r="G7" s="78">
        <f t="shared" ref="G7:P7" si="0">G6/G4</f>
        <v>0.11020022071575003</v>
      </c>
      <c r="H7" s="78">
        <f t="shared" si="0"/>
        <v>8.2513302718857151E-2</v>
      </c>
      <c r="I7" s="78">
        <f t="shared" si="0"/>
        <v>-0.50145392559911328</v>
      </c>
      <c r="J7" s="78">
        <f t="shared" si="0"/>
        <v>0.20433815350389353</v>
      </c>
      <c r="K7" s="78">
        <f t="shared" si="0"/>
        <v>0.26960970064418194</v>
      </c>
      <c r="L7" s="78">
        <f t="shared" si="0"/>
        <v>0.24</v>
      </c>
      <c r="M7" s="78">
        <f t="shared" si="0"/>
        <v>0.24000000000000002</v>
      </c>
      <c r="N7" s="78">
        <f t="shared" si="0"/>
        <v>0.24</v>
      </c>
      <c r="O7" s="78">
        <f t="shared" si="0"/>
        <v>0.24000000000000002</v>
      </c>
      <c r="P7" s="78">
        <f t="shared" si="0"/>
        <v>0.23999999999999996</v>
      </c>
    </row>
  </sheetData>
  <mergeCells count="4">
    <mergeCell ref="A1:D1"/>
    <mergeCell ref="E1:F1"/>
    <mergeCell ref="G1:P1"/>
    <mergeCell ref="A2:P2"/>
  </mergeCells>
  <hyperlinks>
    <hyperlink ref="E1" location="Cover!A1" display="◄  Cover"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9DADD"/>
  </sheetPr>
  <dimension ref="A1:P12"/>
  <sheetViews>
    <sheetView showGridLines="0" workbookViewId="0">
      <pane xSplit="6" ySplit="3" topLeftCell="H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258</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4.1" customHeight="1" x14ac:dyDescent="0.3">
      <c r="C4" s="23" t="s">
        <v>259</v>
      </c>
      <c r="E4" s="45" t="s">
        <v>97</v>
      </c>
      <c r="G4" s="68">
        <v>23730</v>
      </c>
      <c r="H4" s="70">
        <f t="shared" ref="H4:P4" si="0">G9</f>
        <v>30930.999999999978</v>
      </c>
      <c r="I4" s="70">
        <f t="shared" si="0"/>
        <v>45435.999999999964</v>
      </c>
      <c r="J4" s="70">
        <f t="shared" si="0"/>
        <v>63291.000000000051</v>
      </c>
      <c r="K4" s="70">
        <f t="shared" si="0"/>
        <v>73367.000000000029</v>
      </c>
      <c r="L4" s="70">
        <f t="shared" si="0"/>
        <v>82676.000000000058</v>
      </c>
      <c r="M4" s="70">
        <f t="shared" si="0"/>
        <v>92261.698179360072</v>
      </c>
      <c r="N4" s="70">
        <f t="shared" si="0"/>
        <v>104193.65898137445</v>
      </c>
      <c r="O4" s="70">
        <f t="shared" si="0"/>
        <v>119520.16485590025</v>
      </c>
      <c r="P4" s="70">
        <f t="shared" si="0"/>
        <v>138513.58817676813</v>
      </c>
    </row>
    <row r="5" spans="1:16" ht="14.1" customHeight="1" x14ac:dyDescent="0.3">
      <c r="C5" s="23" t="s">
        <v>260</v>
      </c>
      <c r="E5" s="45" t="s">
        <v>97</v>
      </c>
      <c r="G5" s="46">
        <f>IS!G43</f>
        <v>5643.9999999999782</v>
      </c>
      <c r="H5" s="46">
        <f>IS!H43</f>
        <v>12586.999999999985</v>
      </c>
      <c r="I5" s="46">
        <f>IS!I43</f>
        <v>14974.000000000087</v>
      </c>
      <c r="J5" s="46">
        <f>IS!J43</f>
        <v>7152.9999999999854</v>
      </c>
      <c r="K5" s="46">
        <f>IS!K43</f>
        <v>3855.0000000000291</v>
      </c>
      <c r="L5" s="46">
        <f>IS!L43</f>
        <v>5511.9249553600021</v>
      </c>
      <c r="M5" s="46">
        <f>IS!M43</f>
        <v>7405.9873945423697</v>
      </c>
      <c r="N5" s="46">
        <f>IS!N43</f>
        <v>10419.011991416082</v>
      </c>
      <c r="O5" s="46">
        <f>IS!O43</f>
        <v>13475.69781780721</v>
      </c>
      <c r="P5" s="46">
        <f>IS!P43</f>
        <v>16401.37481592358</v>
      </c>
    </row>
    <row r="6" spans="1:16" ht="14.1" customHeight="1" x14ac:dyDescent="0.3">
      <c r="C6" s="23" t="s">
        <v>261</v>
      </c>
      <c r="E6" s="45" t="s">
        <v>97</v>
      </c>
      <c r="G6" s="46">
        <f>BS!G29-27261</f>
        <v>2545</v>
      </c>
      <c r="H6" s="46">
        <f>BS!H29-BS!G29</f>
        <v>2374</v>
      </c>
      <c r="I6" s="46">
        <f>BS!I29-BS!H29</f>
        <v>2715</v>
      </c>
      <c r="J6" s="46">
        <f>BS!J29-BS!I29</f>
        <v>3479</v>
      </c>
      <c r="K6" s="46">
        <f>BS!K29-BS!J29</f>
        <v>4399</v>
      </c>
      <c r="L6" s="46">
        <f>'Revenue Build-up'!L18*Assumptions!L52</f>
        <v>4073.7732240000018</v>
      </c>
      <c r="M6" s="46">
        <f>'Revenue Build-up'!M18*Assumptions!M52</f>
        <v>4525.9734074720018</v>
      </c>
      <c r="N6" s="46">
        <f>'Revenue Build-up'!N18*Assumptions!N52</f>
        <v>4907.4938831097106</v>
      </c>
      <c r="O6" s="46">
        <f>'Revenue Build-up'!O18*Assumptions!O52</f>
        <v>5517.7255030606884</v>
      </c>
      <c r="P6" s="46">
        <f>'Revenue Build-up'!P18*Assumptions!P52</f>
        <v>5649.2875016703429</v>
      </c>
    </row>
    <row r="7" spans="1:16" ht="14.1" customHeight="1" x14ac:dyDescent="0.3">
      <c r="C7" s="23" t="s">
        <v>262</v>
      </c>
      <c r="E7" s="45" t="s">
        <v>97</v>
      </c>
      <c r="G7" s="68">
        <v>0</v>
      </c>
      <c r="H7" s="68">
        <v>0</v>
      </c>
      <c r="I7" s="68">
        <v>0</v>
      </c>
      <c r="J7" s="68">
        <v>0</v>
      </c>
      <c r="K7" s="68">
        <v>0</v>
      </c>
      <c r="L7" s="68">
        <v>0</v>
      </c>
      <c r="M7" s="68">
        <v>0</v>
      </c>
      <c r="N7" s="68">
        <v>0</v>
      </c>
      <c r="O7" s="68">
        <v>0</v>
      </c>
      <c r="P7" s="68">
        <v>0</v>
      </c>
    </row>
    <row r="8" spans="1:16" ht="14.1" customHeight="1" x14ac:dyDescent="0.3">
      <c r="C8" s="23" t="s">
        <v>263</v>
      </c>
      <c r="E8" s="45" t="s">
        <v>97</v>
      </c>
      <c r="G8" s="46">
        <f>(BS!G30-363)+(BS!G32-1505)</f>
        <v>-988</v>
      </c>
      <c r="H8" s="46">
        <f>(BS!H30-BS!G30)+(BS!H32-BS!G32)</f>
        <v>-456</v>
      </c>
      <c r="I8" s="46">
        <f>(BS!I30-BS!H30)+(BS!I32-BS!H32)</f>
        <v>166</v>
      </c>
      <c r="J8" s="46">
        <f>(BS!J30-BS!I30)+(BS!J32-BS!I32)</f>
        <v>-556</v>
      </c>
      <c r="K8" s="46">
        <f>(BS!K30-BS!J30)+(BS!K32-BS!J32)</f>
        <v>1055</v>
      </c>
      <c r="L8" s="68">
        <v>0</v>
      </c>
      <c r="M8" s="68">
        <v>0</v>
      </c>
      <c r="N8" s="68">
        <v>0</v>
      </c>
      <c r="O8" s="68">
        <v>0</v>
      </c>
      <c r="P8" s="68">
        <v>0</v>
      </c>
    </row>
    <row r="9" spans="1:16" ht="14.1" customHeight="1" x14ac:dyDescent="0.3">
      <c r="C9" s="83" t="s">
        <v>264</v>
      </c>
      <c r="D9" s="84"/>
      <c r="E9" s="85" t="s">
        <v>97</v>
      </c>
      <c r="F9" s="84"/>
      <c r="G9" s="86">
        <f t="shared" ref="G9:P9" si="1">G4+G5+G6-G7+G8</f>
        <v>30930.999999999978</v>
      </c>
      <c r="H9" s="86">
        <f t="shared" si="1"/>
        <v>45435.999999999964</v>
      </c>
      <c r="I9" s="86">
        <f t="shared" si="1"/>
        <v>63291.000000000051</v>
      </c>
      <c r="J9" s="86">
        <f t="shared" si="1"/>
        <v>73367.000000000029</v>
      </c>
      <c r="K9" s="86">
        <f t="shared" si="1"/>
        <v>82676.000000000058</v>
      </c>
      <c r="L9" s="86">
        <f t="shared" si="1"/>
        <v>92261.698179360072</v>
      </c>
      <c r="M9" s="86">
        <f t="shared" si="1"/>
        <v>104193.65898137445</v>
      </c>
      <c r="N9" s="86">
        <f t="shared" si="1"/>
        <v>119520.16485590025</v>
      </c>
      <c r="O9" s="86">
        <f t="shared" si="1"/>
        <v>138513.58817676813</v>
      </c>
      <c r="P9" s="86">
        <f t="shared" si="1"/>
        <v>160564.25049436203</v>
      </c>
    </row>
    <row r="10" spans="1:16" ht="4.95" customHeight="1" x14ac:dyDescent="0.3"/>
    <row r="11" spans="1:16" ht="16.95" customHeight="1" x14ac:dyDescent="0.3">
      <c r="A11" s="24" t="s">
        <v>265</v>
      </c>
      <c r="B11" s="25"/>
      <c r="C11" s="25"/>
      <c r="D11" s="25"/>
      <c r="E11" s="25"/>
      <c r="F11" s="25"/>
      <c r="G11" s="25"/>
      <c r="H11" s="25"/>
      <c r="I11" s="25"/>
      <c r="J11" s="25"/>
      <c r="K11" s="25"/>
      <c r="L11" s="25"/>
      <c r="M11" s="25"/>
      <c r="N11" s="25"/>
      <c r="O11" s="25"/>
      <c r="P11" s="25"/>
    </row>
    <row r="12" spans="1:16" ht="14.1" customHeight="1" x14ac:dyDescent="0.3">
      <c r="C12" s="23" t="s">
        <v>208</v>
      </c>
      <c r="E12" s="45" t="s">
        <v>141</v>
      </c>
      <c r="G12" s="69">
        <v>3386</v>
      </c>
      <c r="H12" s="69">
        <v>3475</v>
      </c>
      <c r="I12" s="69">
        <v>3485</v>
      </c>
      <c r="J12" s="69">
        <v>3498</v>
      </c>
      <c r="K12" s="69">
        <v>3528</v>
      </c>
      <c r="L12" s="49">
        <f>Assumptions!$G$57</f>
        <v>3950</v>
      </c>
      <c r="M12" s="49">
        <f>Assumptions!$G$57</f>
        <v>3950</v>
      </c>
      <c r="N12" s="49">
        <f>Assumptions!$G$57</f>
        <v>3950</v>
      </c>
      <c r="O12" s="49">
        <f>Assumptions!$G$57</f>
        <v>3950</v>
      </c>
      <c r="P12" s="49">
        <f>Assumptions!$G$57</f>
        <v>3950</v>
      </c>
    </row>
  </sheetData>
  <mergeCells count="4">
    <mergeCell ref="A1:D1"/>
    <mergeCell ref="E1:F1"/>
    <mergeCell ref="G1:P1"/>
    <mergeCell ref="A2:P2"/>
  </mergeCells>
  <hyperlinks>
    <hyperlink ref="E1" location="Cover!A1" display="◄  Cover"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E6E73"/>
  </sheetPr>
  <dimension ref="A1:P34"/>
  <sheetViews>
    <sheetView showGridLines="0" workbookViewId="0">
      <pane xSplit="6" ySplit="3" topLeftCell="G11"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16" width="11.5546875" customWidth="1"/>
  </cols>
  <sheetData>
    <row r="1" spans="1:16" ht="27" customHeight="1" x14ac:dyDescent="0.3">
      <c r="A1" s="301" t="s">
        <v>1</v>
      </c>
      <c r="B1" s="299"/>
      <c r="C1" s="299"/>
      <c r="D1" s="299"/>
      <c r="E1" s="298" t="s">
        <v>71</v>
      </c>
      <c r="F1" s="299"/>
      <c r="G1" s="304" t="s">
        <v>266</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267</v>
      </c>
      <c r="B4" s="25"/>
      <c r="C4" s="25"/>
      <c r="D4" s="25"/>
      <c r="E4" s="25"/>
      <c r="F4" s="25"/>
      <c r="G4" s="25"/>
      <c r="H4" s="25"/>
      <c r="I4" s="25"/>
      <c r="J4" s="25"/>
      <c r="K4" s="25"/>
      <c r="L4" s="25"/>
      <c r="M4" s="25"/>
      <c r="N4" s="25"/>
      <c r="O4" s="25"/>
      <c r="P4" s="25"/>
    </row>
    <row r="5" spans="1:16" ht="14.1" customHeight="1" x14ac:dyDescent="0.3">
      <c r="C5" s="23" t="s">
        <v>268</v>
      </c>
      <c r="E5" s="45" t="s">
        <v>97</v>
      </c>
      <c r="G5" s="46">
        <f>IS!G43</f>
        <v>5643.9999999999782</v>
      </c>
      <c r="H5" s="46">
        <f>IS!H43</f>
        <v>12586.999999999985</v>
      </c>
      <c r="I5" s="46">
        <f>IS!I43</f>
        <v>14974.000000000087</v>
      </c>
      <c r="J5" s="46">
        <f>IS!J43</f>
        <v>7152.9999999999854</v>
      </c>
      <c r="K5" s="46">
        <f>IS!K43</f>
        <v>3855.0000000000291</v>
      </c>
      <c r="L5" s="46">
        <f>IS!L43</f>
        <v>5511.9249553600021</v>
      </c>
      <c r="M5" s="46">
        <f>IS!M43</f>
        <v>7405.9873945423697</v>
      </c>
      <c r="N5" s="46">
        <f>IS!N43</f>
        <v>10419.011991416082</v>
      </c>
      <c r="O5" s="46">
        <f>IS!O43</f>
        <v>13475.69781780721</v>
      </c>
      <c r="P5" s="46">
        <f>IS!P43</f>
        <v>16401.37481592358</v>
      </c>
    </row>
    <row r="6" spans="1:16" ht="14.1" customHeight="1" x14ac:dyDescent="0.3">
      <c r="C6" s="23" t="s">
        <v>193</v>
      </c>
      <c r="E6" s="45" t="s">
        <v>97</v>
      </c>
      <c r="G6" s="46">
        <f>'Asset Schedule'!G7</f>
        <v>2911</v>
      </c>
      <c r="H6" s="46">
        <f>'Asset Schedule'!H7</f>
        <v>3747</v>
      </c>
      <c r="I6" s="46">
        <f>'Asset Schedule'!I7</f>
        <v>4667</v>
      </c>
      <c r="J6" s="46">
        <f>'Asset Schedule'!J7</f>
        <v>5368</v>
      </c>
      <c r="K6" s="46">
        <f>'Asset Schedule'!K7</f>
        <v>6148</v>
      </c>
      <c r="L6" s="46">
        <f>'Asset Schedule'!L7</f>
        <v>6706.0950000000003</v>
      </c>
      <c r="M6" s="46">
        <f>'Asset Schedule'!M7</f>
        <v>7059.4140896000008</v>
      </c>
      <c r="N6" s="46">
        <f>'Asset Schedule'!N7</f>
        <v>7410.7221760376306</v>
      </c>
      <c r="O6" s="46">
        <f>'Asset Schedule'!O7</f>
        <v>7803.5100698289161</v>
      </c>
      <c r="P6" s="46">
        <f>'Asset Schedule'!P7</f>
        <v>8484.3256689341524</v>
      </c>
    </row>
    <row r="7" spans="1:16" ht="14.1" customHeight="1" x14ac:dyDescent="0.3">
      <c r="C7" s="23" t="s">
        <v>269</v>
      </c>
      <c r="E7" s="45" t="s">
        <v>97</v>
      </c>
      <c r="G7" s="68">
        <v>2121</v>
      </c>
      <c r="H7" s="68">
        <v>1560</v>
      </c>
      <c r="I7" s="68">
        <v>1812</v>
      </c>
      <c r="J7" s="68">
        <v>1999</v>
      </c>
      <c r="K7" s="68">
        <v>2825</v>
      </c>
      <c r="L7" s="46">
        <f>'Equity Schedule'!L6</f>
        <v>4073.7732240000018</v>
      </c>
      <c r="M7" s="46">
        <f>'Equity Schedule'!M6</f>
        <v>4525.9734074720018</v>
      </c>
      <c r="N7" s="46">
        <f>'Equity Schedule'!N6</f>
        <v>4907.4938831097106</v>
      </c>
      <c r="O7" s="46">
        <f>'Equity Schedule'!O6</f>
        <v>5517.7255030606884</v>
      </c>
      <c r="P7" s="46">
        <f>'Equity Schedule'!P6</f>
        <v>5649.2875016703429</v>
      </c>
    </row>
    <row r="8" spans="1:16" ht="14.1" customHeight="1" x14ac:dyDescent="0.3">
      <c r="C8" s="23" t="s">
        <v>270</v>
      </c>
      <c r="E8" s="45" t="s">
        <v>97</v>
      </c>
      <c r="G8" s="68">
        <v>979</v>
      </c>
      <c r="H8" s="68">
        <v>1286</v>
      </c>
      <c r="I8" s="68">
        <v>1532</v>
      </c>
      <c r="J8" s="68">
        <v>502</v>
      </c>
      <c r="K8" s="68">
        <v>363</v>
      </c>
      <c r="L8" s="46">
        <f>(BS!L19-BS!K19)+(BS!L24-BS!K24)</f>
        <v>74.103142000003572</v>
      </c>
      <c r="M8" s="46">
        <f>(BS!M19-BS!L19)+(BS!M24-BS!L24)</f>
        <v>791.35032107599909</v>
      </c>
      <c r="N8" s="46">
        <f>(BS!N19-BS!M19)+(BS!N24-BS!M24)</f>
        <v>1119.6668479155705</v>
      </c>
      <c r="O8" s="46">
        <f>(BS!O19-BS!N19)+(BS!O24-BS!N24)</f>
        <v>1124.1108788570637</v>
      </c>
      <c r="P8" s="46">
        <f>(BS!P19-BS!O19)+(BS!P24-BS!O24)</f>
        <v>1134.3438134920489</v>
      </c>
    </row>
    <row r="9" spans="1:16" ht="14.1" customHeight="1" x14ac:dyDescent="0.3">
      <c r="C9" s="96" t="s">
        <v>271</v>
      </c>
    </row>
    <row r="10" spans="1:16" ht="14.1" customHeight="1" x14ac:dyDescent="0.3">
      <c r="C10" s="23" t="s">
        <v>272</v>
      </c>
      <c r="E10" s="45" t="s">
        <v>97</v>
      </c>
      <c r="G10" s="68">
        <v>-130</v>
      </c>
      <c r="H10" s="68">
        <v>-1124</v>
      </c>
      <c r="I10" s="68">
        <v>-586</v>
      </c>
      <c r="J10" s="68">
        <v>-1083</v>
      </c>
      <c r="K10" s="68">
        <v>-261</v>
      </c>
      <c r="L10" s="46">
        <f>-(BS!L6-BS!K6)</f>
        <v>-446.46013917808432</v>
      </c>
      <c r="M10" s="46">
        <f>-(BS!M6-BS!L6)</f>
        <v>-557.50707551342384</v>
      </c>
      <c r="N10" s="46">
        <f>-(BS!N6-BS!M6)</f>
        <v>-434.98563410914721</v>
      </c>
      <c r="O10" s="46">
        <f>-(BS!O6-BS!N6)</f>
        <v>-747.94070217495391</v>
      </c>
      <c r="P10" s="46">
        <f>-(BS!P6-BS!O6)</f>
        <v>-754.74930839001263</v>
      </c>
    </row>
    <row r="11" spans="1:16" ht="14.1" customHeight="1" x14ac:dyDescent="0.3">
      <c r="C11" s="23" t="s">
        <v>273</v>
      </c>
      <c r="E11" s="45" t="s">
        <v>97</v>
      </c>
      <c r="G11" s="68">
        <v>-3823</v>
      </c>
      <c r="H11" s="68">
        <v>-8035</v>
      </c>
      <c r="I11" s="68">
        <v>-3147</v>
      </c>
      <c r="J11" s="68">
        <v>347</v>
      </c>
      <c r="K11" s="68">
        <v>-655</v>
      </c>
      <c r="L11" s="46">
        <f>-(BS!L7-BS!K7)</f>
        <v>84.609347315063133</v>
      </c>
      <c r="M11" s="46">
        <f>-(BS!M7-BS!L7)</f>
        <v>-672.02329243923123</v>
      </c>
      <c r="N11" s="46">
        <f>-(BS!N7-BS!M7)</f>
        <v>-799.24327286672087</v>
      </c>
      <c r="O11" s="46">
        <f>-(BS!O7-BS!N7)</f>
        <v>-920.55436410001312</v>
      </c>
      <c r="P11" s="46">
        <f>-(BS!P7-BS!O7)</f>
        <v>-1487.8350691717733</v>
      </c>
    </row>
    <row r="12" spans="1:16" ht="14.1" customHeight="1" x14ac:dyDescent="0.3">
      <c r="C12" s="23" t="s">
        <v>274</v>
      </c>
      <c r="E12" s="45" t="s">
        <v>97</v>
      </c>
      <c r="G12" s="68">
        <v>-271</v>
      </c>
      <c r="H12" s="68">
        <v>-1417</v>
      </c>
      <c r="I12" s="68">
        <v>-2652</v>
      </c>
      <c r="J12" s="68">
        <v>-3273</v>
      </c>
      <c r="K12" s="68">
        <v>-3181</v>
      </c>
      <c r="L12" s="46">
        <f>-(BS!L8-BS!K8)</f>
        <v>-3539.8456280000173</v>
      </c>
      <c r="M12" s="46">
        <f>-(BS!M8-BS!L8)</f>
        <v>-5427.3950948519996</v>
      </c>
      <c r="N12" s="46">
        <f>-(BS!N8-BS!M8)</f>
        <v>-7529.5896256712585</v>
      </c>
      <c r="O12" s="46">
        <f>-(BS!O8-BS!N8)</f>
        <v>-7875.5237634473015</v>
      </c>
      <c r="P12" s="46">
        <f>-(BS!P8-BS!O8)</f>
        <v>-8258.0959080735192</v>
      </c>
    </row>
    <row r="13" spans="1:16" ht="14.1" customHeight="1" x14ac:dyDescent="0.3">
      <c r="C13" s="23" t="s">
        <v>275</v>
      </c>
      <c r="E13" s="45" t="s">
        <v>97</v>
      </c>
      <c r="G13" s="68">
        <v>4578</v>
      </c>
      <c r="H13" s="68">
        <v>6029</v>
      </c>
      <c r="I13" s="68">
        <v>2605</v>
      </c>
      <c r="J13" s="68">
        <v>3588</v>
      </c>
      <c r="K13" s="68">
        <v>4376</v>
      </c>
      <c r="L13" s="46">
        <f>(BS!L17-BS!K17)+(BS!L18-BS!K18)</f>
        <v>463.54880466302529</v>
      </c>
      <c r="M13" s="46">
        <f>(BS!M17-BS!L17)+(BS!M18-BS!L18)</f>
        <v>2779.3301393888742</v>
      </c>
      <c r="N13" s="46">
        <f>(BS!N17-BS!M17)+(BS!N18-BS!M18)</f>
        <v>2784.5817014506902</v>
      </c>
      <c r="O13" s="46">
        <f>(BS!O17-BS!N17)+(BS!O18-BS!N18)</f>
        <v>3846.9666711264617</v>
      </c>
      <c r="P13" s="46">
        <f>(BS!P17-BS!O17)+(BS!P18-BS!O18)</f>
        <v>3078.3667174618931</v>
      </c>
    </row>
    <row r="14" spans="1:16" ht="14.1" customHeight="1" x14ac:dyDescent="0.3">
      <c r="C14" s="23" t="s">
        <v>276</v>
      </c>
      <c r="E14" s="45" t="s">
        <v>97</v>
      </c>
      <c r="G14" s="68">
        <v>303</v>
      </c>
      <c r="H14" s="68">
        <v>738</v>
      </c>
      <c r="I14" s="68">
        <v>-5949</v>
      </c>
      <c r="J14" s="68">
        <v>322</v>
      </c>
      <c r="K14" s="68">
        <v>1277</v>
      </c>
      <c r="L14" s="68">
        <v>0</v>
      </c>
      <c r="M14" s="68">
        <v>0</v>
      </c>
      <c r="N14" s="68">
        <v>0</v>
      </c>
      <c r="O14" s="68">
        <v>0</v>
      </c>
      <c r="P14" s="68">
        <v>0</v>
      </c>
    </row>
    <row r="15" spans="1:16" ht="14.1" customHeight="1" x14ac:dyDescent="0.3">
      <c r="C15" s="23" t="s">
        <v>277</v>
      </c>
      <c r="E15" s="45" t="s">
        <v>97</v>
      </c>
      <c r="G15" s="68">
        <v>-815</v>
      </c>
      <c r="H15" s="68">
        <v>-647</v>
      </c>
      <c r="I15" s="68">
        <v>0</v>
      </c>
      <c r="J15" s="68">
        <v>0</v>
      </c>
      <c r="K15" s="68">
        <v>0</v>
      </c>
      <c r="L15" s="46">
        <f>(BS!L25-BS!K25)-(BS!L13-BS!K13)-(BS!L12-BS!K12)</f>
        <v>384.35040999999183</v>
      </c>
      <c r="M15" s="46">
        <f>(BS!M25-BS!L25)-(BS!M13-BS!L13)-(BS!M12-BS!L12)</f>
        <v>-1130.004012085994</v>
      </c>
      <c r="N15" s="46">
        <f>(BS!N25-BS!M25)-(BS!N13-BS!M13)-(BS!N12-BS!M12)</f>
        <v>-1673.5870198971443</v>
      </c>
      <c r="O15" s="46">
        <f>(BS!O25-BS!N25)-(BS!O13-BS!N13)-(BS!O12-BS!N12)</f>
        <v>-2248.2217577141291</v>
      </c>
      <c r="P15" s="46">
        <f>(BS!P25-BS!O25)-(BS!P13-BS!O13)-(BS!P12-BS!O12)</f>
        <v>-1461.6465553168982</v>
      </c>
    </row>
    <row r="16" spans="1:16" ht="14.1" customHeight="1" x14ac:dyDescent="0.3">
      <c r="C16" s="71" t="s">
        <v>278</v>
      </c>
      <c r="D16" s="72"/>
      <c r="E16" s="87" t="s">
        <v>97</v>
      </c>
      <c r="F16" s="72"/>
      <c r="G16" s="73">
        <f t="shared" ref="G16:P16" si="0">SUM(G8:G15)</f>
        <v>821</v>
      </c>
      <c r="H16" s="73">
        <f t="shared" si="0"/>
        <v>-3170</v>
      </c>
      <c r="I16" s="73">
        <f t="shared" si="0"/>
        <v>-8197</v>
      </c>
      <c r="J16" s="73">
        <f t="shared" si="0"/>
        <v>403</v>
      </c>
      <c r="K16" s="73">
        <f t="shared" si="0"/>
        <v>1919</v>
      </c>
      <c r="L16" s="73">
        <f t="shared" si="0"/>
        <v>-2979.6940632000178</v>
      </c>
      <c r="M16" s="73">
        <f t="shared" si="0"/>
        <v>-4216.2490144257754</v>
      </c>
      <c r="N16" s="73">
        <f t="shared" si="0"/>
        <v>-6533.1570031780102</v>
      </c>
      <c r="O16" s="73">
        <f t="shared" si="0"/>
        <v>-6821.1630374528722</v>
      </c>
      <c r="P16" s="73">
        <f t="shared" si="0"/>
        <v>-7749.6163099982605</v>
      </c>
    </row>
    <row r="17" spans="1:16" ht="14.1" customHeight="1" x14ac:dyDescent="0.3">
      <c r="C17" s="83" t="s">
        <v>279</v>
      </c>
      <c r="D17" s="84"/>
      <c r="E17" s="85" t="s">
        <v>97</v>
      </c>
      <c r="F17" s="84"/>
      <c r="G17" s="86">
        <f t="shared" ref="G17:P17" si="1">SUM(G5:G7)+G16</f>
        <v>11496.999999999978</v>
      </c>
      <c r="H17" s="86">
        <f t="shared" si="1"/>
        <v>14723.999999999985</v>
      </c>
      <c r="I17" s="86">
        <f t="shared" si="1"/>
        <v>13256.000000000087</v>
      </c>
      <c r="J17" s="86">
        <f t="shared" si="1"/>
        <v>14922.999999999985</v>
      </c>
      <c r="K17" s="86">
        <f t="shared" si="1"/>
        <v>14747.000000000029</v>
      </c>
      <c r="L17" s="86">
        <f t="shared" si="1"/>
        <v>13312.099116159989</v>
      </c>
      <c r="M17" s="86">
        <f t="shared" si="1"/>
        <v>14775.125877188599</v>
      </c>
      <c r="N17" s="86">
        <f t="shared" si="1"/>
        <v>16204.071047385412</v>
      </c>
      <c r="O17" s="86">
        <f t="shared" si="1"/>
        <v>19975.770353243945</v>
      </c>
      <c r="P17" s="86">
        <f t="shared" si="1"/>
        <v>22785.371676529816</v>
      </c>
    </row>
    <row r="18" spans="1:16" ht="4.95" customHeight="1" x14ac:dyDescent="0.3"/>
    <row r="19" spans="1:16" ht="16.95" customHeight="1" x14ac:dyDescent="0.3">
      <c r="A19" s="24" t="s">
        <v>280</v>
      </c>
      <c r="B19" s="25"/>
      <c r="C19" s="25"/>
      <c r="D19" s="25"/>
      <c r="E19" s="25"/>
      <c r="F19" s="25"/>
      <c r="G19" s="25"/>
      <c r="H19" s="25"/>
      <c r="I19" s="25"/>
      <c r="J19" s="25"/>
      <c r="K19" s="25"/>
      <c r="L19" s="25"/>
      <c r="M19" s="25"/>
      <c r="N19" s="25"/>
      <c r="O19" s="25"/>
      <c r="P19" s="25"/>
    </row>
    <row r="20" spans="1:16" ht="14.1" customHeight="1" x14ac:dyDescent="0.3">
      <c r="C20" s="23" t="s">
        <v>281</v>
      </c>
      <c r="E20" s="45" t="s">
        <v>97</v>
      </c>
      <c r="G20" s="46">
        <f>'Asset Schedule'!G6</f>
        <v>6482</v>
      </c>
      <c r="H20" s="46">
        <f>'Asset Schedule'!H6</f>
        <v>7158</v>
      </c>
      <c r="I20" s="46">
        <f>'Asset Schedule'!I6</f>
        <v>8899</v>
      </c>
      <c r="J20" s="46">
        <f>'Asset Schedule'!J6</f>
        <v>11342</v>
      </c>
      <c r="K20" s="46">
        <f>'Asset Schedule'!K6</f>
        <v>8527</v>
      </c>
      <c r="L20" s="46">
        <f>'Asset Schedule'!L6</f>
        <v>10184.433060000005</v>
      </c>
      <c r="M20" s="46">
        <f>'Asset Schedule'!M6</f>
        <v>10749.186842746003</v>
      </c>
      <c r="N20" s="46">
        <f>'Asset Schedule'!N6</f>
        <v>11623.011828417737</v>
      </c>
      <c r="O20" s="46">
        <f>'Asset Schedule'!O6</f>
        <v>12342.280730530489</v>
      </c>
      <c r="P20" s="46">
        <f>'Asset Schedule'!P6</f>
        <v>12912.657146675068</v>
      </c>
    </row>
    <row r="21" spans="1:16" ht="14.1" customHeight="1" x14ac:dyDescent="0.3">
      <c r="C21" s="83" t="s">
        <v>282</v>
      </c>
      <c r="D21" s="84"/>
      <c r="E21" s="85" t="s">
        <v>97</v>
      </c>
      <c r="F21" s="84"/>
      <c r="G21" s="94">
        <v>-7868</v>
      </c>
      <c r="H21" s="94">
        <v>-11973</v>
      </c>
      <c r="I21" s="94">
        <v>-15584</v>
      </c>
      <c r="J21" s="94">
        <v>-18787</v>
      </c>
      <c r="K21" s="94">
        <v>-15478</v>
      </c>
      <c r="L21" s="86">
        <f>-L20</f>
        <v>-10184.433060000005</v>
      </c>
      <c r="M21" s="86">
        <f>-M20</f>
        <v>-10749.186842746003</v>
      </c>
      <c r="N21" s="86">
        <f>-N20</f>
        <v>-11623.011828417737</v>
      </c>
      <c r="O21" s="86">
        <f>-O20</f>
        <v>-12342.280730530489</v>
      </c>
      <c r="P21" s="86">
        <f>-P20</f>
        <v>-12912.657146675068</v>
      </c>
    </row>
    <row r="22" spans="1:16" ht="4.95" customHeight="1" x14ac:dyDescent="0.3"/>
    <row r="23" spans="1:16" ht="16.95" customHeight="1" x14ac:dyDescent="0.3">
      <c r="A23" s="24" t="s">
        <v>283</v>
      </c>
      <c r="B23" s="25"/>
      <c r="C23" s="25"/>
      <c r="D23" s="25"/>
      <c r="E23" s="25"/>
      <c r="F23" s="25"/>
      <c r="G23" s="25"/>
      <c r="H23" s="25"/>
      <c r="I23" s="25"/>
      <c r="J23" s="25"/>
      <c r="K23" s="25"/>
      <c r="L23" s="25"/>
      <c r="M23" s="25"/>
      <c r="N23" s="25"/>
      <c r="O23" s="25"/>
      <c r="P23" s="25"/>
    </row>
    <row r="24" spans="1:16" ht="14.1" customHeight="1" x14ac:dyDescent="0.3">
      <c r="C24" s="23" t="s">
        <v>249</v>
      </c>
      <c r="E24" s="45" t="s">
        <v>97</v>
      </c>
      <c r="G24" s="46">
        <f>'Loans &amp; Other Income'!G6</f>
        <v>-5284</v>
      </c>
      <c r="H24" s="46">
        <f>'Loans &amp; Other Income'!H6</f>
        <v>-3364</v>
      </c>
      <c r="I24" s="46">
        <f>'Loans &amp; Other Income'!I6</f>
        <v>2580</v>
      </c>
      <c r="J24" s="46">
        <f>'Loans &amp; Other Income'!J6</f>
        <v>3244</v>
      </c>
      <c r="K24" s="46">
        <f>'Loans &amp; Other Income'!K6</f>
        <v>40</v>
      </c>
      <c r="L24" s="46">
        <f>'Loans &amp; Other Income'!L6</f>
        <v>0</v>
      </c>
      <c r="M24" s="46">
        <f>'Loans &amp; Other Income'!M6</f>
        <v>0</v>
      </c>
      <c r="N24" s="46">
        <f>'Loans &amp; Other Income'!N6</f>
        <v>0</v>
      </c>
      <c r="O24" s="46">
        <f>'Loans &amp; Other Income'!O6</f>
        <v>0</v>
      </c>
      <c r="P24" s="46">
        <f>'Loans &amp; Other Income'!P6</f>
        <v>0</v>
      </c>
    </row>
    <row r="25" spans="1:16" ht="14.1" customHeight="1" x14ac:dyDescent="0.3">
      <c r="C25" s="23" t="s">
        <v>284</v>
      </c>
      <c r="E25" s="45" t="s">
        <v>97</v>
      </c>
      <c r="G25" s="68">
        <v>-153</v>
      </c>
      <c r="H25" s="68">
        <v>-710</v>
      </c>
      <c r="I25" s="68">
        <v>-107</v>
      </c>
      <c r="J25" s="68">
        <v>361</v>
      </c>
      <c r="K25" s="68">
        <v>1065</v>
      </c>
      <c r="L25" s="68">
        <v>0</v>
      </c>
      <c r="M25" s="68">
        <v>0</v>
      </c>
      <c r="N25" s="68">
        <v>0</v>
      </c>
      <c r="O25" s="68">
        <v>0</v>
      </c>
      <c r="P25" s="68">
        <v>0</v>
      </c>
    </row>
    <row r="26" spans="1:16" ht="14.1" customHeight="1" x14ac:dyDescent="0.3">
      <c r="C26" s="23" t="s">
        <v>262</v>
      </c>
      <c r="E26" s="45" t="s">
        <v>97</v>
      </c>
      <c r="G26" s="46">
        <f>'Equity Schedule'!G7</f>
        <v>0</v>
      </c>
      <c r="H26" s="46">
        <f>'Equity Schedule'!H7</f>
        <v>0</v>
      </c>
      <c r="I26" s="46">
        <f>'Equity Schedule'!I7</f>
        <v>0</v>
      </c>
      <c r="J26" s="46">
        <f>'Equity Schedule'!J7</f>
        <v>0</v>
      </c>
      <c r="K26" s="46">
        <f>'Equity Schedule'!K7</f>
        <v>0</v>
      </c>
      <c r="L26" s="46">
        <f>'Equity Schedule'!L7</f>
        <v>0</v>
      </c>
      <c r="M26" s="46">
        <f>'Equity Schedule'!M7</f>
        <v>0</v>
      </c>
      <c r="N26" s="46">
        <f>'Equity Schedule'!N7</f>
        <v>0</v>
      </c>
      <c r="O26" s="46">
        <f>'Equity Schedule'!O7</f>
        <v>0</v>
      </c>
      <c r="P26" s="46">
        <f>'Equity Schedule'!P7</f>
        <v>0</v>
      </c>
    </row>
    <row r="27" spans="1:16" ht="4.95" customHeight="1" x14ac:dyDescent="0.3"/>
    <row r="28" spans="1:16" ht="14.1" customHeight="1" x14ac:dyDescent="0.3">
      <c r="C28" s="83" t="s">
        <v>285</v>
      </c>
      <c r="D28" s="84"/>
      <c r="E28" s="85" t="s">
        <v>97</v>
      </c>
      <c r="F28" s="84"/>
      <c r="G28" s="86">
        <f t="shared" ref="G28:P28" si="2">G24+G25-G26</f>
        <v>-5437</v>
      </c>
      <c r="H28" s="86">
        <f t="shared" si="2"/>
        <v>-4074</v>
      </c>
      <c r="I28" s="86">
        <f t="shared" si="2"/>
        <v>2473</v>
      </c>
      <c r="J28" s="86">
        <f t="shared" si="2"/>
        <v>3605</v>
      </c>
      <c r="K28" s="86">
        <f t="shared" si="2"/>
        <v>1105</v>
      </c>
      <c r="L28" s="86">
        <f t="shared" si="2"/>
        <v>0</v>
      </c>
      <c r="M28" s="86">
        <f t="shared" si="2"/>
        <v>0</v>
      </c>
      <c r="N28" s="86">
        <f t="shared" si="2"/>
        <v>0</v>
      </c>
      <c r="O28" s="86">
        <f t="shared" si="2"/>
        <v>0</v>
      </c>
      <c r="P28" s="86">
        <f t="shared" si="2"/>
        <v>0</v>
      </c>
    </row>
    <row r="29" spans="1:16" ht="4.95" customHeight="1" x14ac:dyDescent="0.3"/>
    <row r="30" spans="1:16" ht="14.1" customHeight="1" x14ac:dyDescent="0.3">
      <c r="C30" s="71" t="s">
        <v>286</v>
      </c>
      <c r="D30" s="72"/>
      <c r="E30" s="87" t="s">
        <v>97</v>
      </c>
      <c r="F30" s="72"/>
      <c r="G30" s="73">
        <f t="shared" ref="G30:P30" si="3">G17+G21+G28</f>
        <v>-1808.0000000000218</v>
      </c>
      <c r="H30" s="73">
        <f t="shared" si="3"/>
        <v>-1323.0000000000146</v>
      </c>
      <c r="I30" s="73">
        <f t="shared" si="3"/>
        <v>145.00000000008731</v>
      </c>
      <c r="J30" s="73">
        <f t="shared" si="3"/>
        <v>-259.00000000001455</v>
      </c>
      <c r="K30" s="73">
        <f t="shared" si="3"/>
        <v>374.0000000000291</v>
      </c>
      <c r="L30" s="73">
        <f t="shared" si="3"/>
        <v>3127.6660561599838</v>
      </c>
      <c r="M30" s="73">
        <f t="shared" si="3"/>
        <v>4025.9390344425956</v>
      </c>
      <c r="N30" s="73">
        <f t="shared" si="3"/>
        <v>4581.0592189676754</v>
      </c>
      <c r="O30" s="73">
        <f t="shared" si="3"/>
        <v>7633.4896227134559</v>
      </c>
      <c r="P30" s="73">
        <f t="shared" si="3"/>
        <v>9872.7145298547475</v>
      </c>
    </row>
    <row r="31" spans="1:16" ht="14.1" customHeight="1" x14ac:dyDescent="0.3">
      <c r="C31" s="23" t="s">
        <v>287</v>
      </c>
      <c r="E31" s="45" t="s">
        <v>97</v>
      </c>
      <c r="G31" s="68">
        <v>19384</v>
      </c>
      <c r="H31" s="70">
        <f t="shared" ref="H31:P31" si="4">G32</f>
        <v>17575.999999999978</v>
      </c>
      <c r="I31" s="70">
        <f t="shared" si="4"/>
        <v>16252.999999999964</v>
      </c>
      <c r="J31" s="70">
        <f t="shared" si="4"/>
        <v>16398.000000000051</v>
      </c>
      <c r="K31" s="70">
        <f t="shared" si="4"/>
        <v>16139.000000000036</v>
      </c>
      <c r="L31" s="70">
        <f t="shared" si="4"/>
        <v>16513.000000000065</v>
      </c>
      <c r="M31" s="70">
        <f t="shared" si="4"/>
        <v>19640.666056160051</v>
      </c>
      <c r="N31" s="70">
        <f t="shared" si="4"/>
        <v>23666.605090602647</v>
      </c>
      <c r="O31" s="70">
        <f t="shared" si="4"/>
        <v>28247.664309570322</v>
      </c>
      <c r="P31" s="70">
        <f t="shared" si="4"/>
        <v>35881.153932283778</v>
      </c>
    </row>
    <row r="32" spans="1:16" ht="14.1" customHeight="1" x14ac:dyDescent="0.3">
      <c r="C32" s="74" t="s">
        <v>288</v>
      </c>
      <c r="D32" s="75"/>
      <c r="E32" s="76" t="s">
        <v>97</v>
      </c>
      <c r="F32" s="75"/>
      <c r="G32" s="77">
        <f t="shared" ref="G32:P32" si="5">G31+G30</f>
        <v>17575.999999999978</v>
      </c>
      <c r="H32" s="77">
        <f t="shared" si="5"/>
        <v>16252.999999999964</v>
      </c>
      <c r="I32" s="77">
        <f t="shared" si="5"/>
        <v>16398.000000000051</v>
      </c>
      <c r="J32" s="77">
        <f t="shared" si="5"/>
        <v>16139.000000000036</v>
      </c>
      <c r="K32" s="77">
        <f t="shared" si="5"/>
        <v>16513.000000000065</v>
      </c>
      <c r="L32" s="77">
        <f t="shared" si="5"/>
        <v>19640.666056160051</v>
      </c>
      <c r="M32" s="77">
        <f t="shared" si="5"/>
        <v>23666.605090602647</v>
      </c>
      <c r="N32" s="77">
        <f t="shared" si="5"/>
        <v>28247.664309570322</v>
      </c>
      <c r="O32" s="77">
        <f t="shared" si="5"/>
        <v>35881.153932283778</v>
      </c>
      <c r="P32" s="77">
        <f t="shared" si="5"/>
        <v>45753.868462138526</v>
      </c>
    </row>
    <row r="33" spans="3:16" ht="4.95" customHeight="1" x14ac:dyDescent="0.3"/>
    <row r="34" spans="3:16" ht="16.05" customHeight="1" x14ac:dyDescent="0.3">
      <c r="C34" s="92" t="s">
        <v>289</v>
      </c>
      <c r="G34" s="97" t="str">
        <f>IF(ABS(G32-BS!G5)&lt;0.5,"PASS","FAIL")</f>
        <v>PASS</v>
      </c>
      <c r="H34" s="97" t="str">
        <f>IF(ABS(H32-BS!H5)&lt;0.5,"PASS","FAIL")</f>
        <v>PASS</v>
      </c>
      <c r="I34" s="97" t="str">
        <f>IF(ABS(I32-BS!I5)&lt;0.5,"PASS","FAIL")</f>
        <v>PASS</v>
      </c>
      <c r="J34" s="97" t="str">
        <f>IF(ABS(J32-BS!J5)&lt;0.5,"PASS","FAIL")</f>
        <v>PASS</v>
      </c>
      <c r="K34" s="97" t="str">
        <f>IF(ABS(K32-BS!K5)&lt;0.5,"PASS","FAIL")</f>
        <v>PASS</v>
      </c>
      <c r="L34" s="97" t="str">
        <f>IF(ABS(L32-BS!L5)&lt;0.5,"PASS","FAIL")</f>
        <v>PASS</v>
      </c>
      <c r="M34" s="97" t="str">
        <f>IF(ABS(M32-BS!M5)&lt;0.5,"PASS","FAIL")</f>
        <v>PASS</v>
      </c>
      <c r="N34" s="97" t="str">
        <f>IF(ABS(N32-BS!N5)&lt;0.5,"PASS","FAIL")</f>
        <v>PASS</v>
      </c>
      <c r="O34" s="97" t="str">
        <f>IF(ABS(O32-BS!O5)&lt;0.5,"PASS","FAIL")</f>
        <v>PASS</v>
      </c>
      <c r="P34" s="97" t="str">
        <f>IF(ABS(P32-BS!P5)&lt;0.5,"PASS","FAIL")</f>
        <v>PASS</v>
      </c>
    </row>
  </sheetData>
  <mergeCells count="4">
    <mergeCell ref="A1:D1"/>
    <mergeCell ref="E1:F1"/>
    <mergeCell ref="G1:P1"/>
    <mergeCell ref="A2:P2"/>
  </mergeCells>
  <hyperlinks>
    <hyperlink ref="E1" location="Cover!A1" display="◄  Cover"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8BAC0"/>
  </sheetPr>
  <dimension ref="A1:S59"/>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defaultColWidth="8.6640625" defaultRowHeight="14.4" x14ac:dyDescent="0.3"/>
  <cols>
    <col min="1" max="2" width="2.21875" customWidth="1"/>
    <col min="3" max="3" width="46" customWidth="1"/>
    <col min="4" max="4" width="1.5546875" customWidth="1"/>
    <col min="5" max="5" width="9" customWidth="1"/>
    <col min="6" max="6" width="1.5546875" customWidth="1"/>
    <col min="7" max="7" width="11.5546875" customWidth="1"/>
    <col min="8" max="8" width="24" customWidth="1"/>
    <col min="9" max="18" width="8.44140625" customWidth="1"/>
  </cols>
  <sheetData>
    <row r="1" spans="1:16" ht="27" customHeight="1" x14ac:dyDescent="0.3">
      <c r="A1" s="301" t="s">
        <v>1</v>
      </c>
      <c r="B1" s="299"/>
      <c r="C1" s="299"/>
      <c r="D1" s="299"/>
      <c r="E1" s="298" t="s">
        <v>71</v>
      </c>
      <c r="F1" s="299"/>
      <c r="G1" s="304" t="s">
        <v>290</v>
      </c>
      <c r="H1" s="299"/>
      <c r="I1" s="299"/>
      <c r="J1" s="299"/>
      <c r="K1" s="299"/>
      <c r="L1" s="299"/>
      <c r="M1" s="299"/>
      <c r="N1" s="299"/>
      <c r="O1" s="299"/>
      <c r="P1" s="299"/>
    </row>
    <row r="2" spans="1:16" ht="13.05" customHeight="1" x14ac:dyDescent="0.3">
      <c r="A2" s="305" t="s">
        <v>291</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292</v>
      </c>
      <c r="B4" s="25"/>
      <c r="C4" s="25"/>
      <c r="D4" s="25"/>
      <c r="E4" s="25"/>
      <c r="F4" s="25"/>
      <c r="G4" s="25"/>
      <c r="H4" s="25"/>
      <c r="I4" s="25"/>
      <c r="J4" s="25"/>
      <c r="K4" s="25"/>
      <c r="L4" s="25"/>
      <c r="M4" s="25"/>
      <c r="N4" s="25"/>
      <c r="O4" s="25"/>
      <c r="P4" s="25"/>
    </row>
    <row r="5" spans="1:16" ht="14.1" customHeight="1" x14ac:dyDescent="0.3">
      <c r="C5" s="23" t="s">
        <v>293</v>
      </c>
      <c r="G5" s="47">
        <f>IS!G29/IS!G8</f>
        <v>0.17527822678037236</v>
      </c>
      <c r="H5" s="47">
        <f>IS!H29/IS!H8</f>
        <v>0.21363335051926038</v>
      </c>
      <c r="I5" s="47">
        <f>IS!I29/IS!I8</f>
        <v>0.14010106124642283</v>
      </c>
      <c r="J5" s="47">
        <f>IS!J29/IS!J8</f>
        <v>0.12738253659535251</v>
      </c>
      <c r="K5" s="47">
        <f>IS!K29/IS!K8</f>
        <v>0.11075959378658004</v>
      </c>
      <c r="L5" s="47">
        <f>IS!L29/IS!L8</f>
        <v>0.13387434288855737</v>
      </c>
      <c r="M5" s="47">
        <f>IS!M29/IS!M8</f>
        <v>0.14440300816681878</v>
      </c>
      <c r="N5" s="47">
        <f>IS!N29/IS!N8</f>
        <v>0.15853357458742465</v>
      </c>
      <c r="O5" s="47">
        <f>IS!O29/IS!O8</f>
        <v>0.17095743948662631</v>
      </c>
      <c r="P5" s="47">
        <f>IS!P29/IS!P8</f>
        <v>0.17996999699392902</v>
      </c>
    </row>
    <row r="6" spans="1:16" ht="14.1" customHeight="1" x14ac:dyDescent="0.3">
      <c r="C6" s="23" t="s">
        <v>294</v>
      </c>
      <c r="G6" s="47">
        <f>IS!G25/IS!G8</f>
        <v>0.12119354179439981</v>
      </c>
      <c r="H6" s="47">
        <f>IS!H25/IS!H8</f>
        <v>0.16763644398615291</v>
      </c>
      <c r="I6" s="47">
        <f>IS!I25/IS!I8</f>
        <v>9.1874799789198214E-2</v>
      </c>
      <c r="J6" s="47">
        <f>IS!J25/IS!J8</f>
        <v>7.2433207083631754E-2</v>
      </c>
      <c r="K6" s="47">
        <f>IS!K25/IS!K8</f>
        <v>4.59257384500198E-2</v>
      </c>
      <c r="L6" s="47">
        <f>IS!L25/IS!L8</f>
        <v>6.8027820450910784E-2</v>
      </c>
      <c r="M6" s="47">
        <f>IS!M25/IS!M8</f>
        <v>8.2012768949367765E-2</v>
      </c>
      <c r="N6" s="47">
        <f>IS!N25/IS!N8</f>
        <v>0.1011504276295348</v>
      </c>
      <c r="O6" s="47">
        <f>IS!O25/IS!O8</f>
        <v>0.11721547959952947</v>
      </c>
      <c r="P6" s="47">
        <f>IS!P25/IS!P8</f>
        <v>0.12740559868265619</v>
      </c>
    </row>
    <row r="7" spans="1:16" ht="14.1" customHeight="1" x14ac:dyDescent="0.3">
      <c r="C7" s="23" t="s">
        <v>295</v>
      </c>
      <c r="G7" s="47">
        <f>IS!G37/IS!G8</f>
        <v>0.11784924660461106</v>
      </c>
      <c r="H7" s="47">
        <f>IS!H37/IS!H8</f>
        <v>0.16840981070928762</v>
      </c>
      <c r="I7" s="47">
        <f>IS!I37/IS!I8</f>
        <v>0.10305560435245449</v>
      </c>
      <c r="J7" s="47">
        <f>IS!J37/IS!J8</f>
        <v>9.202579588494203E-2</v>
      </c>
      <c r="K7" s="47">
        <f>IS!K37/IS!K8</f>
        <v>5.565925316629259E-2</v>
      </c>
      <c r="L7" s="47">
        <f>IS!L37/IS!L8</f>
        <v>7.1211944673530994E-2</v>
      </c>
      <c r="M7" s="47">
        <f>IS!M37/IS!M8</f>
        <v>8.6122647030042992E-2</v>
      </c>
      <c r="N7" s="47">
        <f>IS!N37/IS!N8</f>
        <v>0.10615410064264727</v>
      </c>
      <c r="O7" s="47">
        <f>IS!O37/IS!O8</f>
        <v>0.12211279638985507</v>
      </c>
      <c r="P7" s="47">
        <f>IS!P37/IS!P8</f>
        <v>0.13370296193327472</v>
      </c>
    </row>
    <row r="8" spans="1:16" ht="14.1" customHeight="1" x14ac:dyDescent="0.3">
      <c r="C8" s="23" t="s">
        <v>296</v>
      </c>
      <c r="G8" s="47">
        <f>IS!G43/IS!G8</f>
        <v>0.10486223361759806</v>
      </c>
      <c r="H8" s="47">
        <f>IS!H43/IS!H8</f>
        <v>0.15451376101740674</v>
      </c>
      <c r="I8" s="47">
        <f>IS!I43/IS!I8</f>
        <v>0.15473324170998184</v>
      </c>
      <c r="J8" s="47">
        <f>IS!J43/IS!J8</f>
        <v>7.3221414679086771E-2</v>
      </c>
      <c r="K8" s="47">
        <f>IS!K43/IS!K8</f>
        <v>4.0652978582049713E-2</v>
      </c>
      <c r="L8" s="47">
        <f>IS!L43/IS!L8</f>
        <v>5.4121077951883555E-2</v>
      </c>
      <c r="M8" s="47">
        <f>IS!M43/IS!M8</f>
        <v>6.5453211742832668E-2</v>
      </c>
      <c r="N8" s="47">
        <f>IS!N43/IS!N8</f>
        <v>8.0677116488411915E-2</v>
      </c>
      <c r="O8" s="47">
        <f>IS!O43/IS!O8</f>
        <v>9.2805725256289856E-2</v>
      </c>
      <c r="P8" s="47">
        <f>IS!P43/IS!P8</f>
        <v>0.10161425106928879</v>
      </c>
    </row>
    <row r="9" spans="1:16" ht="4.95" customHeight="1" x14ac:dyDescent="0.3"/>
    <row r="10" spans="1:16" ht="16.95" customHeight="1" x14ac:dyDescent="0.3">
      <c r="A10" s="24" t="s">
        <v>297</v>
      </c>
      <c r="B10" s="25"/>
      <c r="C10" s="25"/>
      <c r="D10" s="25"/>
      <c r="E10" s="25"/>
      <c r="F10" s="25"/>
      <c r="G10" s="25"/>
      <c r="H10" s="25"/>
      <c r="I10" s="25"/>
      <c r="J10" s="25"/>
      <c r="K10" s="25"/>
      <c r="L10" s="25"/>
      <c r="M10" s="25"/>
      <c r="N10" s="25"/>
      <c r="O10" s="25"/>
      <c r="P10" s="25"/>
    </row>
    <row r="11" spans="1:16" ht="14.1" customHeight="1" x14ac:dyDescent="0.3">
      <c r="C11" s="23" t="s">
        <v>298</v>
      </c>
      <c r="H11" s="47">
        <f>IS!H8/IS!G8-1</f>
        <v>0.51351652639206313</v>
      </c>
      <c r="I11" s="47">
        <f>IS!I8/IS!H8-1</f>
        <v>0.18795266504628061</v>
      </c>
      <c r="J11" s="47">
        <f>IS!J8/IS!I8-1</f>
        <v>9.4757835346626074E-3</v>
      </c>
      <c r="K11" s="47">
        <f>IS!K8/IS!J8-1</f>
        <v>-2.9306991503735835E-2</v>
      </c>
      <c r="L11" s="47">
        <f>IS!L8/IS!K8-1</f>
        <v>7.4001398335917123E-2</v>
      </c>
      <c r="M11" s="47">
        <f>IS!M8/IS!L8-1</f>
        <v>0.1110027874914421</v>
      </c>
      <c r="N11" s="47">
        <f>IS!N8/IS!M8-1</f>
        <v>0.14136398290013252</v>
      </c>
      <c r="O11" s="47">
        <f>IS!O8/IS!N8-1</f>
        <v>0.12434689364590601</v>
      </c>
      <c r="P11" s="47">
        <f>IS!P8/IS!O8-1</f>
        <v>0.11160153604386291</v>
      </c>
    </row>
    <row r="12" spans="1:16" ht="14.1" customHeight="1" x14ac:dyDescent="0.3">
      <c r="C12" s="23" t="s">
        <v>299</v>
      </c>
      <c r="H12" s="47">
        <f>IS!H29/IS!G29-1</f>
        <v>0.84471062115751816</v>
      </c>
      <c r="I12" s="47">
        <f>IS!I29/IS!H29-1</f>
        <v>-0.22093891857725112</v>
      </c>
      <c r="J12" s="47">
        <f>IS!J29/IS!I29-1</f>
        <v>-8.2165511137342828E-2</v>
      </c>
      <c r="K12" s="47">
        <f>IS!K29/IS!J29-1</f>
        <v>-0.15597878495660222</v>
      </c>
      <c r="L12" s="47">
        <f>IS!L29/IS!K29-1</f>
        <v>0.29813794496810098</v>
      </c>
      <c r="M12" s="47">
        <f>IS!M29/IS!L29-1</f>
        <v>0.19837857750708499</v>
      </c>
      <c r="N12" s="47">
        <f>IS!N29/IS!M29-1</f>
        <v>0.25305223493312257</v>
      </c>
      <c r="O12" s="47">
        <f>IS!O29/IS!N29-1</f>
        <v>0.21245904239954827</v>
      </c>
      <c r="P12" s="47">
        <f>IS!P29/IS!O29-1</f>
        <v>0.17020309675327594</v>
      </c>
    </row>
    <row r="13" spans="1:16" ht="14.1" customHeight="1" x14ac:dyDescent="0.3">
      <c r="C13" s="23" t="s">
        <v>300</v>
      </c>
      <c r="H13" s="47">
        <f>IS!H25/IS!G25-1</f>
        <v>1.0935152537176194</v>
      </c>
      <c r="I13" s="47">
        <f>IS!I25/IS!H25-1</f>
        <v>-0.34893087287638425</v>
      </c>
      <c r="J13" s="47">
        <f>IS!J25/IS!I25-1</f>
        <v>-0.20413901698347592</v>
      </c>
      <c r="K13" s="47">
        <f>IS!K25/IS!J25-1</f>
        <v>-0.38453928773317725</v>
      </c>
      <c r="L13" s="47">
        <f>IS!L25/IS!K25-1</f>
        <v>0.59087206337542053</v>
      </c>
      <c r="M13" s="47">
        <f>IS!M25/IS!L25-1</f>
        <v>0.3393992973564286</v>
      </c>
      <c r="N13" s="47">
        <f>IS!N25/IS!M25-1</f>
        <v>0.40770097669269645</v>
      </c>
      <c r="O13" s="47">
        <f>IS!O25/IS!N25-1</f>
        <v>0.30291945831047129</v>
      </c>
      <c r="P13" s="47">
        <f>IS!P25/IS!O25-1</f>
        <v>0.20823853368251788</v>
      </c>
    </row>
    <row r="14" spans="1:16" ht="14.1" customHeight="1" x14ac:dyDescent="0.3">
      <c r="C14" s="23" t="s">
        <v>301</v>
      </c>
      <c r="H14" s="47">
        <f>IS!H37/IS!G37-1</f>
        <v>1.1628566924168426</v>
      </c>
      <c r="I14" s="47">
        <f>IS!I37/IS!H37-1</f>
        <v>-0.27305197171804807</v>
      </c>
      <c r="J14" s="47">
        <f>IS!J37/IS!I37-1</f>
        <v>-9.8566128547086462E-2</v>
      </c>
      <c r="K14" s="47">
        <f>IS!K37/IS!J37-1</f>
        <v>-0.41290322580644745</v>
      </c>
      <c r="L14" s="47">
        <f>IS!L37/IS!K37-1</f>
        <v>0.37410625918907958</v>
      </c>
      <c r="M14" s="47">
        <f>IS!M37/IS!L37-1</f>
        <v>0.34362993954417176</v>
      </c>
      <c r="N14" s="47">
        <f>IS!N37/IS!M37-1</f>
        <v>0.40683631180550939</v>
      </c>
      <c r="O14" s="47">
        <f>IS!O37/IS!N37-1</f>
        <v>0.29337578543046505</v>
      </c>
      <c r="P14" s="47">
        <f>IS!P37/IS!O37-1</f>
        <v>0.21710764352776524</v>
      </c>
    </row>
    <row r="15" spans="1:16" ht="14.1" customHeight="1" x14ac:dyDescent="0.3">
      <c r="C15" s="23" t="s">
        <v>302</v>
      </c>
      <c r="H15" s="47">
        <f>IS!H43/IS!G43-1</f>
        <v>1.2301559177888084</v>
      </c>
      <c r="I15" s="47">
        <f>IS!I43/IS!H43-1</f>
        <v>0.1896401048701124</v>
      </c>
      <c r="J15" s="47">
        <f>IS!J43/IS!I43-1</f>
        <v>-0.52230532923734851</v>
      </c>
      <c r="K15" s="47">
        <f>IS!K43/IS!J43-1</f>
        <v>-0.4610652872920401</v>
      </c>
      <c r="L15" s="47">
        <f>IS!L43/IS!K43-1</f>
        <v>0.42981192097534637</v>
      </c>
      <c r="M15" s="47">
        <f>IS!M43/IS!L43-1</f>
        <v>0.34362993954417154</v>
      </c>
      <c r="N15" s="47">
        <f>IS!N43/IS!M43-1</f>
        <v>0.40683631180550961</v>
      </c>
      <c r="O15" s="47">
        <f>IS!O43/IS!N43-1</f>
        <v>0.29337578543046505</v>
      </c>
      <c r="P15" s="47">
        <f>IS!P43/IS!O43-1</f>
        <v>0.21710764352776524</v>
      </c>
    </row>
    <row r="16" spans="1:16" ht="4.95" customHeight="1" x14ac:dyDescent="0.3"/>
    <row r="17" spans="1:16" ht="16.95" customHeight="1" x14ac:dyDescent="0.3">
      <c r="A17" s="24" t="s">
        <v>303</v>
      </c>
      <c r="B17" s="25"/>
      <c r="C17" s="25"/>
      <c r="D17" s="25"/>
      <c r="E17" s="25"/>
      <c r="F17" s="25"/>
      <c r="G17" s="25"/>
      <c r="H17" s="25"/>
      <c r="I17" s="25"/>
      <c r="J17" s="25"/>
      <c r="K17" s="25"/>
      <c r="L17" s="25"/>
      <c r="M17" s="25"/>
      <c r="N17" s="25"/>
      <c r="O17" s="25"/>
      <c r="P17" s="25"/>
    </row>
    <row r="18" spans="1:16" ht="14.1" customHeight="1" x14ac:dyDescent="0.3">
      <c r="C18" s="23" t="s">
        <v>304</v>
      </c>
      <c r="G18" s="47">
        <f>IS!G14/IS!G8</f>
        <v>0.74720844248741269</v>
      </c>
      <c r="H18" s="47">
        <f>IS!H14/IS!H8</f>
        <v>0.74401561464241006</v>
      </c>
      <c r="I18" s="47">
        <f>IS!I14/IS!I8</f>
        <v>0.81751108263668515</v>
      </c>
      <c r="J18" s="47">
        <f>IS!J14/IS!J8</f>
        <v>0.82137373323779317</v>
      </c>
      <c r="K18" s="47">
        <f>IS!K14/IS!K8</f>
        <v>0.81973488563383823</v>
      </c>
      <c r="L18" s="47">
        <f>IS!L14/IS!L8</f>
        <v>0.80197217954908917</v>
      </c>
      <c r="M18" s="47">
        <f>IS!M14/IS!M8</f>
        <v>0.78998723105063218</v>
      </c>
      <c r="N18" s="47">
        <f>IS!N14/IS!N8</f>
        <v>0.77884957237046515</v>
      </c>
      <c r="O18" s="47">
        <f>IS!O14/IS!O8</f>
        <v>0.76978452040047052</v>
      </c>
      <c r="P18" s="47">
        <f>IS!P14/IS!P8</f>
        <v>0.7625944013173438</v>
      </c>
    </row>
    <row r="19" spans="1:16" ht="14.1" customHeight="1" x14ac:dyDescent="0.3">
      <c r="C19" s="23" t="s">
        <v>305</v>
      </c>
      <c r="G19" s="47">
        <f>IS!G20/IS!G8</f>
        <v>4.81764301506791E-2</v>
      </c>
      <c r="H19" s="47">
        <f>IS!H20/IS!H8</f>
        <v>3.7747661486337195E-2</v>
      </c>
      <c r="I19" s="47">
        <f>IS!I20/IS!I8</f>
        <v>4.1013505833238574E-2</v>
      </c>
      <c r="J19" s="47">
        <f>IS!J20/IS!J8</f>
        <v>4.6473538745009729E-2</v>
      </c>
      <c r="K19" s="47">
        <f>IS!K20/IS!K8</f>
        <v>6.7607327027112515E-2</v>
      </c>
      <c r="L19" s="47">
        <f>IS!L20/IS!L8</f>
        <v>7.0000000000000007E-2</v>
      </c>
      <c r="M19" s="47">
        <f>IS!M20/IS!M8</f>
        <v>7.0000000000000007E-2</v>
      </c>
      <c r="N19" s="47">
        <f>IS!N20/IS!N8</f>
        <v>6.5000000000000002E-2</v>
      </c>
      <c r="O19" s="47">
        <f>IS!O20/IS!O8</f>
        <v>0.06</v>
      </c>
      <c r="P19" s="47">
        <f>IS!P20/IS!P8</f>
        <v>5.9999999999999991E-2</v>
      </c>
    </row>
    <row r="20" spans="1:16" ht="14.1" customHeight="1" x14ac:dyDescent="0.3">
      <c r="C20" s="23" t="s">
        <v>306</v>
      </c>
      <c r="G20" s="47">
        <f>IS!G21/IS!G8</f>
        <v>8.3923229845976666E-2</v>
      </c>
      <c r="H20" s="47">
        <f>IS!H21/IS!H8</f>
        <v>4.8439763325231408E-2</v>
      </c>
      <c r="I20" s="47">
        <f>IS!I21/IS!I8</f>
        <v>4.9600611740878091E-2</v>
      </c>
      <c r="J20" s="47">
        <f>IS!J21/IS!J8</f>
        <v>5.2717780734978001E-2</v>
      </c>
      <c r="K20" s="47">
        <f>IS!K21/IS!K8</f>
        <v>6.1522562139475025E-2</v>
      </c>
      <c r="L20" s="47">
        <f>IS!L21/IS!L8</f>
        <v>0.06</v>
      </c>
      <c r="M20" s="47">
        <f>IS!M21/IS!M8</f>
        <v>5.8000000000000003E-2</v>
      </c>
      <c r="N20" s="47">
        <f>IS!N21/IS!N8</f>
        <v>5.5E-2</v>
      </c>
      <c r="O20" s="47">
        <f>IS!O21/IS!O8</f>
        <v>5.2999999999999999E-2</v>
      </c>
      <c r="P20" s="47">
        <f>IS!P21/IS!P8</f>
        <v>0.05</v>
      </c>
    </row>
    <row r="21" spans="1:16" ht="4.95" customHeight="1" x14ac:dyDescent="0.3"/>
    <row r="22" spans="1:16" ht="16.95" customHeight="1" x14ac:dyDescent="0.3">
      <c r="A22" s="24" t="s">
        <v>307</v>
      </c>
      <c r="B22" s="25"/>
      <c r="C22" s="25"/>
      <c r="D22" s="25"/>
      <c r="E22" s="25"/>
      <c r="F22" s="25"/>
      <c r="G22" s="25"/>
      <c r="H22" s="25"/>
      <c r="I22" s="25"/>
      <c r="J22" s="25"/>
      <c r="K22" s="25"/>
      <c r="L22" s="25"/>
      <c r="M22" s="25"/>
      <c r="N22" s="25"/>
      <c r="O22" s="25"/>
      <c r="P22" s="25"/>
    </row>
    <row r="23" spans="1:16" ht="14.1" customHeight="1" x14ac:dyDescent="0.3">
      <c r="C23" s="23" t="s">
        <v>308</v>
      </c>
      <c r="G23" s="98">
        <f>BS!G9/BS!G21</f>
        <v>1.3752854605430094</v>
      </c>
      <c r="H23" s="98">
        <f>BS!H9/BS!H21</f>
        <v>1.53195552061103</v>
      </c>
      <c r="I23" s="98">
        <f>BS!I9/BS!I21</f>
        <v>1.7258939752330598</v>
      </c>
      <c r="J23" s="98">
        <f>BS!J9/BS!J21</f>
        <v>2.0249123902709831</v>
      </c>
      <c r="K23" s="98">
        <f>BS!K9/BS!K21</f>
        <v>2.1644068865485275</v>
      </c>
      <c r="L23" s="98">
        <f>BS!L9/BS!L21</f>
        <v>2.3414545284662522</v>
      </c>
      <c r="M23" s="98">
        <f>BS!M9/BS!M21</f>
        <v>2.4329859371156624</v>
      </c>
      <c r="N23" s="98">
        <f>BS!N9/BS!N21</f>
        <v>2.5670821069073551</v>
      </c>
      <c r="O23" s="98">
        <f>BS!O9/BS!O21</f>
        <v>2.7025654609283722</v>
      </c>
      <c r="P23" s="98">
        <f>BS!P9/BS!P21</f>
        <v>2.9269335780741579</v>
      </c>
    </row>
    <row r="24" spans="1:16" ht="14.1" customHeight="1" x14ac:dyDescent="0.3">
      <c r="C24" s="23" t="s">
        <v>309</v>
      </c>
      <c r="G24" s="98">
        <f>(BS!G9-BS!G7)/BS!G21</f>
        <v>1.0831261101243339</v>
      </c>
      <c r="H24" s="98">
        <f>(BS!H9-BS!H7)/BS!H21</f>
        <v>1.0512561308922086</v>
      </c>
      <c r="I24" s="98">
        <f>(BS!I9-BS!I7)/BS!I21</f>
        <v>1.2519131765688047</v>
      </c>
      <c r="J24" s="98">
        <f>(BS!J9-BS!J7)/BS!J21</f>
        <v>1.6079594739946568</v>
      </c>
      <c r="K24" s="98">
        <f>(BS!K9-BS!K7)/BS!K21</f>
        <v>1.7736646276092578</v>
      </c>
      <c r="L24" s="98">
        <f>(BS!L9-BS!L7)/BS!L21</f>
        <v>1.9606341674417858</v>
      </c>
      <c r="M24" s="98">
        <f>(BS!M9-BS!M7)/BS!M21</f>
        <v>2.0672976239047212</v>
      </c>
      <c r="N24" s="98">
        <f>(BS!N9-BS!N7)/BS!N21</f>
        <v>2.2123051558091613</v>
      </c>
      <c r="O24" s="98">
        <f>(BS!O9-BS!O7)/BS!O21</f>
        <v>2.3626721285953503</v>
      </c>
      <c r="P24" s="98">
        <f>(BS!P9-BS!P7)/BS!P21</f>
        <v>2.5817357083886767</v>
      </c>
    </row>
    <row r="25" spans="1:16" ht="4.95" customHeight="1" x14ac:dyDescent="0.3"/>
    <row r="26" spans="1:16" ht="16.95" customHeight="1" x14ac:dyDescent="0.3">
      <c r="A26" s="24" t="s">
        <v>310</v>
      </c>
      <c r="B26" s="25"/>
      <c r="C26" s="25"/>
      <c r="D26" s="25"/>
      <c r="E26" s="25"/>
      <c r="F26" s="25"/>
      <c r="G26" s="25"/>
      <c r="H26" s="25"/>
      <c r="I26" s="25"/>
      <c r="J26" s="25"/>
      <c r="K26" s="25"/>
      <c r="L26" s="25"/>
      <c r="M26" s="25"/>
      <c r="N26" s="25"/>
      <c r="O26" s="25"/>
      <c r="P26" s="25"/>
    </row>
    <row r="27" spans="1:16" ht="14.1" customHeight="1" x14ac:dyDescent="0.3">
      <c r="C27" s="23" t="s">
        <v>311</v>
      </c>
      <c r="G27" s="47">
        <f>IS!G43/BS!G33</f>
        <v>0.18197646300177264</v>
      </c>
      <c r="H27" s="47">
        <f>IS!H43/BS!H33</f>
        <v>0.2767042581723051</v>
      </c>
      <c r="I27" s="47">
        <f>IS!I43/BS!I33</f>
        <v>0.23630596367194417</v>
      </c>
      <c r="J27" s="47">
        <f>IS!J43/BS!J33</f>
        <v>9.7165056984120313E-2</v>
      </c>
      <c r="K27" s="47">
        <f>IS!K43/BS!K33</f>
        <v>4.6521450552103168E-2</v>
      </c>
      <c r="L27" s="47">
        <f>IS!L43/BS!L33</f>
        <v>5.9620155000522874E-2</v>
      </c>
      <c r="M27" s="47">
        <f>IS!M43/BS!M33</f>
        <v>7.0950361552524391E-2</v>
      </c>
      <c r="N27" s="47">
        <f>IS!N43/BS!N33</f>
        <v>8.7036042762122359E-2</v>
      </c>
      <c r="O27" s="47">
        <f>IS!O43/BS!O33</f>
        <v>9.7155345080030139E-2</v>
      </c>
      <c r="P27" s="47">
        <f>IS!P43/BS!P33</f>
        <v>0.1020282623554092</v>
      </c>
    </row>
    <row r="28" spans="1:16" ht="14.1" customHeight="1" x14ac:dyDescent="0.3">
      <c r="C28" s="23" t="s">
        <v>312</v>
      </c>
      <c r="H28" s="47">
        <f>IS!H43/AVERAGE(BS!G33,BS!H33)</f>
        <v>0.32905468995085185</v>
      </c>
      <c r="I28" s="47">
        <f>IS!I43/AVERAGE(BS!H33,BS!I33)</f>
        <v>0.27511574924671284</v>
      </c>
      <c r="J28" s="47">
        <f>IS!J43/AVERAGE(BS!I33,BS!J33)</f>
        <v>0.10443555451731568</v>
      </c>
      <c r="K28" s="47">
        <f>IS!K43/AVERAGE(BS!J33,BS!K33)</f>
        <v>4.9270842652829452E-2</v>
      </c>
      <c r="L28" s="47">
        <f>IS!L43/AVERAGE(BS!K33,BS!L33)</f>
        <v>6.2879993207692372E-2</v>
      </c>
      <c r="M28" s="47">
        <f>IS!M43/AVERAGE(BS!L33,BS!M33)</f>
        <v>7.5251344603086051E-2</v>
      </c>
      <c r="N28" s="47">
        <f>IS!N43/AVERAGE(BS!M33,BS!N33)</f>
        <v>9.2988774092729973E-2</v>
      </c>
      <c r="O28" s="47">
        <f>IS!O43/AVERAGE(BS!N33,BS!O33)</f>
        <v>0.10429632290063541</v>
      </c>
      <c r="P28" s="47">
        <f>IS!P43/AVERAGE(BS!O33,BS!P33)</f>
        <v>0.10954119237552074</v>
      </c>
    </row>
    <row r="29" spans="1:16" ht="4.95" customHeight="1" x14ac:dyDescent="0.3"/>
    <row r="30" spans="1:16" ht="16.95" customHeight="1" x14ac:dyDescent="0.3">
      <c r="A30" s="24" t="s">
        <v>313</v>
      </c>
      <c r="B30" s="25"/>
      <c r="C30" s="25"/>
      <c r="D30" s="25"/>
      <c r="E30" s="25"/>
      <c r="F30" s="25"/>
      <c r="G30" s="25"/>
      <c r="H30" s="25"/>
      <c r="I30" s="25"/>
      <c r="J30" s="25"/>
      <c r="K30" s="25"/>
      <c r="L30" s="25"/>
      <c r="M30" s="25"/>
      <c r="N30" s="25"/>
      <c r="O30" s="25"/>
      <c r="P30" s="25"/>
    </row>
    <row r="31" spans="1:16" ht="14.1" customHeight="1" x14ac:dyDescent="0.3">
      <c r="C31" s="23" t="s">
        <v>314</v>
      </c>
      <c r="G31" s="98">
        <f>'Loans &amp; Other Income'!G8/BS!G33</f>
        <v>0.22034499435756891</v>
      </c>
      <c r="H31" s="98">
        <f>'Loans &amp; Other Income'!H8/BS!H33</f>
        <v>6.8126360218954032E-2</v>
      </c>
      <c r="I31" s="98">
        <f>'Loans &amp; Other Income'!I8/BS!I33</f>
        <v>8.2535073460949709E-2</v>
      </c>
      <c r="J31" s="98">
        <f>'Loans &amp; Other Income'!J8/BS!J33</f>
        <v>0.11156390507627315</v>
      </c>
      <c r="K31" s="98">
        <f>'Loans &amp; Other Income'!K8/BS!K33</f>
        <v>0.10108006999336269</v>
      </c>
      <c r="L31" s="98">
        <f>'Loans &amp; Other Income'!L8/BS!L33</f>
        <v>9.0599640294225223E-2</v>
      </c>
      <c r="M31" s="98">
        <f>'Loans &amp; Other Income'!M8/BS!M33</f>
        <v>8.0243213592542995E-2</v>
      </c>
      <c r="N31" s="98">
        <f>'Loans &amp; Other Income'!N8/BS!N33</f>
        <v>6.9969580107610022E-2</v>
      </c>
      <c r="O31" s="98">
        <f>'Loans &amp; Other Income'!O8/BS!O33</f>
        <v>6.0388202629105193E-2</v>
      </c>
      <c r="P31" s="98">
        <f>'Loans &amp; Other Income'!P8/BS!P33</f>
        <v>5.2104700677848913E-2</v>
      </c>
    </row>
    <row r="32" spans="1:16" ht="14.1" customHeight="1" x14ac:dyDescent="0.3">
      <c r="C32" s="23" t="s">
        <v>315</v>
      </c>
      <c r="G32" s="98">
        <f>'Loans &amp; Other Income'!G8/IS!G29</f>
        <v>0.72440110239559208</v>
      </c>
      <c r="H32" s="98">
        <f>'Loans &amp; Other Income'!H8/IS!H29</f>
        <v>0.17807274607826251</v>
      </c>
      <c r="I32" s="98">
        <f>'Loans &amp; Other Income'!I8/IS!I29</f>
        <v>0.38575011063578452</v>
      </c>
      <c r="J32" s="98">
        <f>'Loans &amp; Other Income'!J8/IS!J29</f>
        <v>0.65999678559948649</v>
      </c>
      <c r="K32" s="98">
        <f>'Loans &amp; Other Income'!K8/IS!K29</f>
        <v>0.79748643244786988</v>
      </c>
      <c r="L32" s="98">
        <f>'Loans &amp; Other Income'!L8/IS!L29</f>
        <v>0.61433103896170782</v>
      </c>
      <c r="M32" s="98">
        <f>'Loans &amp; Other Income'!M8/IS!M29</f>
        <v>0.51263519766822252</v>
      </c>
      <c r="N32" s="98">
        <f>'Loans &amp; Other Income'!N8/IS!N29</f>
        <v>0.4091092002206777</v>
      </c>
      <c r="O32" s="98">
        <f>'Loans &amp; Other Income'!O8/IS!O29</f>
        <v>0.33742104756876534</v>
      </c>
      <c r="P32" s="98">
        <f>'Loans &amp; Other Income'!P8/IS!P29</f>
        <v>0.28834400498933799</v>
      </c>
    </row>
    <row r="33" spans="1:19" ht="14.1" customHeight="1" x14ac:dyDescent="0.3">
      <c r="C33" s="23" t="s">
        <v>316</v>
      </c>
      <c r="G33" s="99">
        <f>IS!G25/IS!G34</f>
        <v>17.582210242587543</v>
      </c>
      <c r="H33" s="99">
        <f>IS!H25/IS!H34</f>
        <v>71.497382198952806</v>
      </c>
      <c r="I33" s="99">
        <f>IS!I25/IS!I34</f>
        <v>56.993589743590306</v>
      </c>
      <c r="J33" s="99">
        <f>IS!J25/IS!J34</f>
        <v>20.217142857142814</v>
      </c>
      <c r="K33" s="99">
        <f>IS!K25/IS!K34</f>
        <v>12.88461538461547</v>
      </c>
      <c r="L33" s="99">
        <f>IS!L25/IS!L34</f>
        <v>16.543094164278898</v>
      </c>
      <c r="M33" s="99">
        <f>IS!M25/IS!M34</f>
        <v>22.157808699736389</v>
      </c>
      <c r="N33" s="99">
        <f>IS!N25/IS!N34</f>
        <v>31.191568947988838</v>
      </c>
      <c r="O33" s="99">
        <f>IS!O25/IS!O34</f>
        <v>40.640102117567331</v>
      </c>
      <c r="P33" s="99">
        <f>IS!P25/IS!P34</f>
        <v>49.10293739123734</v>
      </c>
    </row>
    <row r="34" spans="1:19" ht="4.95" customHeight="1" x14ac:dyDescent="0.3"/>
    <row r="35" spans="1:19" ht="4.95" customHeight="1" x14ac:dyDescent="0.3"/>
    <row r="36" spans="1:19" ht="4.95" customHeight="1" x14ac:dyDescent="0.3">
      <c r="A36" s="100"/>
      <c r="B36" s="100"/>
      <c r="C36" s="100"/>
      <c r="D36" s="100"/>
      <c r="E36" s="100"/>
      <c r="F36" s="100"/>
      <c r="G36" s="100"/>
      <c r="H36" s="100"/>
      <c r="I36" s="100"/>
      <c r="J36" s="100"/>
      <c r="K36" s="100"/>
      <c r="L36" s="100"/>
      <c r="M36" s="100"/>
      <c r="N36" s="100"/>
      <c r="O36" s="100"/>
      <c r="P36" s="100"/>
      <c r="Q36" s="100"/>
      <c r="R36" s="100"/>
      <c r="S36" s="100"/>
    </row>
    <row r="37" spans="1:19" ht="4.95" customHeight="1" x14ac:dyDescent="0.3">
      <c r="A37" s="100"/>
      <c r="B37" s="100"/>
      <c r="C37" s="100"/>
      <c r="D37" s="100"/>
      <c r="E37" s="100"/>
      <c r="F37" s="100"/>
      <c r="G37" s="100"/>
      <c r="H37" s="100"/>
      <c r="I37" s="100"/>
      <c r="J37" s="100"/>
      <c r="K37" s="100"/>
      <c r="L37" s="100"/>
      <c r="M37" s="100"/>
      <c r="N37" s="100"/>
      <c r="O37" s="100"/>
      <c r="P37" s="100"/>
      <c r="Q37" s="100"/>
      <c r="R37" s="100"/>
      <c r="S37" s="100"/>
    </row>
    <row r="38" spans="1:19" ht="16.05" customHeight="1" x14ac:dyDescent="0.3">
      <c r="A38" s="100"/>
      <c r="B38" s="100"/>
      <c r="C38" s="100"/>
      <c r="D38" s="100"/>
      <c r="E38" s="100"/>
      <c r="F38" s="100"/>
      <c r="G38" s="100"/>
      <c r="H38" s="101" t="s">
        <v>317</v>
      </c>
      <c r="I38" s="100"/>
      <c r="J38" s="100"/>
      <c r="K38" s="100"/>
      <c r="L38" s="100"/>
      <c r="M38" s="100"/>
      <c r="N38" s="100"/>
      <c r="O38" s="100"/>
      <c r="P38" s="100"/>
      <c r="Q38" s="100"/>
      <c r="R38" s="100"/>
      <c r="S38" s="100"/>
    </row>
    <row r="39" spans="1:19" ht="14.1" customHeight="1" x14ac:dyDescent="0.3">
      <c r="A39" s="100"/>
      <c r="B39" s="100"/>
      <c r="C39" s="100"/>
      <c r="D39" s="100"/>
      <c r="E39" s="100"/>
      <c r="F39" s="100"/>
      <c r="G39" s="100"/>
      <c r="H39" s="102" t="s">
        <v>318</v>
      </c>
      <c r="I39" s="103" t="str">
        <f t="shared" ref="I39:R39" si="0">G3</f>
        <v>FY21A</v>
      </c>
      <c r="J39" s="103" t="str">
        <f t="shared" si="0"/>
        <v>FY22A</v>
      </c>
      <c r="K39" s="103" t="str">
        <f t="shared" si="0"/>
        <v>FY23A</v>
      </c>
      <c r="L39" s="103" t="str">
        <f t="shared" si="0"/>
        <v>FY24A</v>
      </c>
      <c r="M39" s="103" t="str">
        <f t="shared" si="0"/>
        <v>FY25A</v>
      </c>
      <c r="N39" s="104" t="str">
        <f t="shared" si="0"/>
        <v>FY26E</v>
      </c>
      <c r="O39" s="104" t="str">
        <f t="shared" si="0"/>
        <v>FY27E</v>
      </c>
      <c r="P39" s="104" t="str">
        <f t="shared" si="0"/>
        <v>FY28E</v>
      </c>
      <c r="Q39" s="104" t="str">
        <f t="shared" si="0"/>
        <v>FY29E</v>
      </c>
      <c r="R39" s="104" t="str">
        <f t="shared" si="0"/>
        <v>FY30E</v>
      </c>
      <c r="S39" s="100"/>
    </row>
    <row r="40" spans="1:19" ht="13.05" customHeight="1" x14ac:dyDescent="0.3">
      <c r="A40" s="100"/>
      <c r="B40" s="100"/>
      <c r="C40" s="100"/>
      <c r="D40" s="100"/>
      <c r="E40" s="100"/>
      <c r="F40" s="100"/>
      <c r="G40" s="100"/>
      <c r="H40" s="105" t="s">
        <v>319</v>
      </c>
      <c r="I40" s="106">
        <f>IS!G17</f>
        <v>0.25279155751258725</v>
      </c>
      <c r="J40" s="106">
        <f>IS!H17</f>
        <v>0.25598438535758988</v>
      </c>
      <c r="K40" s="106">
        <f>IS!I17</f>
        <v>0.18248891736331488</v>
      </c>
      <c r="L40" s="106">
        <f>IS!J17</f>
        <v>0.17862626676220686</v>
      </c>
      <c r="M40" s="106">
        <f>IS!K17</f>
        <v>0.1802651143661618</v>
      </c>
      <c r="N40" s="107" t="e">
        <f>NA()</f>
        <v>#N/A</v>
      </c>
      <c r="O40" s="107" t="e">
        <f>NA()</f>
        <v>#N/A</v>
      </c>
      <c r="P40" s="107" t="e">
        <f>NA()</f>
        <v>#N/A</v>
      </c>
      <c r="Q40" s="107" t="e">
        <f>NA()</f>
        <v>#N/A</v>
      </c>
      <c r="R40" s="107" t="e">
        <f>NA()</f>
        <v>#N/A</v>
      </c>
      <c r="S40" s="100"/>
    </row>
    <row r="41" spans="1:19" ht="13.05" customHeight="1" x14ac:dyDescent="0.3">
      <c r="A41" s="100"/>
      <c r="B41" s="100"/>
      <c r="C41" s="100"/>
      <c r="D41" s="100"/>
      <c r="E41" s="100"/>
      <c r="F41" s="100"/>
      <c r="G41" s="100"/>
      <c r="H41" s="105" t="s">
        <v>293</v>
      </c>
      <c r="I41" s="106">
        <f>IS!G30</f>
        <v>0.17527822678037236</v>
      </c>
      <c r="J41" s="106">
        <f>IS!H30</f>
        <v>0.21363335051926038</v>
      </c>
      <c r="K41" s="106">
        <f>IS!I30</f>
        <v>0.14010106124642283</v>
      </c>
      <c r="L41" s="106">
        <f>IS!J30</f>
        <v>0.12738253659535251</v>
      </c>
      <c r="M41" s="106">
        <f>IS!K30</f>
        <v>0.11075959378658004</v>
      </c>
      <c r="N41" s="107" t="e">
        <f>NA()</f>
        <v>#N/A</v>
      </c>
      <c r="O41" s="107" t="e">
        <f>NA()</f>
        <v>#N/A</v>
      </c>
      <c r="P41" s="107" t="e">
        <f>NA()</f>
        <v>#N/A</v>
      </c>
      <c r="Q41" s="107" t="e">
        <f>NA()</f>
        <v>#N/A</v>
      </c>
      <c r="R41" s="107" t="e">
        <f>NA()</f>
        <v>#N/A</v>
      </c>
      <c r="S41" s="100"/>
    </row>
    <row r="42" spans="1:19" ht="13.05" customHeight="1" x14ac:dyDescent="0.3">
      <c r="A42" s="100"/>
      <c r="B42" s="100"/>
      <c r="C42" s="100"/>
      <c r="D42" s="100"/>
      <c r="E42" s="100"/>
      <c r="F42" s="100"/>
      <c r="G42" s="100"/>
      <c r="H42" s="105" t="s">
        <v>294</v>
      </c>
      <c r="I42" s="106">
        <f>IS!G26</f>
        <v>0.12119354179439981</v>
      </c>
      <c r="J42" s="106">
        <f>IS!H26</f>
        <v>0.16763644398615291</v>
      </c>
      <c r="K42" s="106">
        <f>IS!I26</f>
        <v>9.1874799789198214E-2</v>
      </c>
      <c r="L42" s="106">
        <f>IS!J26</f>
        <v>7.2433207083631754E-2</v>
      </c>
      <c r="M42" s="106">
        <f>IS!K26</f>
        <v>4.59257384500198E-2</v>
      </c>
      <c r="N42" s="107" t="e">
        <f>NA()</f>
        <v>#N/A</v>
      </c>
      <c r="O42" s="107" t="e">
        <f>NA()</f>
        <v>#N/A</v>
      </c>
      <c r="P42" s="107" t="e">
        <f>NA()</f>
        <v>#N/A</v>
      </c>
      <c r="Q42" s="107" t="e">
        <f>NA()</f>
        <v>#N/A</v>
      </c>
      <c r="R42" s="107" t="e">
        <f>NA()</f>
        <v>#N/A</v>
      </c>
      <c r="S42" s="100"/>
    </row>
    <row r="43" spans="1:19" ht="13.05" customHeight="1" x14ac:dyDescent="0.3">
      <c r="A43" s="100"/>
      <c r="B43" s="100"/>
      <c r="C43" s="100"/>
      <c r="D43" s="100"/>
      <c r="E43" s="100"/>
      <c r="F43" s="100"/>
      <c r="G43" s="100"/>
      <c r="H43" s="105" t="s">
        <v>320</v>
      </c>
      <c r="I43" s="106">
        <f>IS!G44</f>
        <v>0.10486223361759806</v>
      </c>
      <c r="J43" s="106">
        <f>IS!H44</f>
        <v>0.15451376101740674</v>
      </c>
      <c r="K43" s="106">
        <f>IS!I44</f>
        <v>0.15473324170998184</v>
      </c>
      <c r="L43" s="106">
        <f>IS!J44</f>
        <v>7.3221414679086771E-2</v>
      </c>
      <c r="M43" s="106">
        <f>IS!K44</f>
        <v>4.0652978582049713E-2</v>
      </c>
      <c r="N43" s="107" t="e">
        <f>NA()</f>
        <v>#N/A</v>
      </c>
      <c r="O43" s="107" t="e">
        <f>NA()</f>
        <v>#N/A</v>
      </c>
      <c r="P43" s="107" t="e">
        <f>NA()</f>
        <v>#N/A</v>
      </c>
      <c r="Q43" s="107" t="e">
        <f>NA()</f>
        <v>#N/A</v>
      </c>
      <c r="R43" s="107" t="e">
        <f>NA()</f>
        <v>#N/A</v>
      </c>
      <c r="S43" s="100"/>
    </row>
    <row r="44" spans="1:19" ht="13.05" customHeight="1" x14ac:dyDescent="0.3">
      <c r="A44" s="100"/>
      <c r="B44" s="100"/>
      <c r="C44" s="100"/>
      <c r="D44" s="100"/>
      <c r="E44" s="100"/>
      <c r="F44" s="100"/>
      <c r="G44" s="100"/>
      <c r="H44" s="105" t="s">
        <v>321</v>
      </c>
      <c r="I44" s="107" t="e">
        <f>NA()</f>
        <v>#N/A</v>
      </c>
      <c r="J44" s="107" t="e">
        <f>NA()</f>
        <v>#N/A</v>
      </c>
      <c r="K44" s="107" t="e">
        <f>NA()</f>
        <v>#N/A</v>
      </c>
      <c r="L44" s="107" t="e">
        <f>NA()</f>
        <v>#N/A</v>
      </c>
      <c r="M44" s="106">
        <f>IS!K17</f>
        <v>0.1802651143661618</v>
      </c>
      <c r="N44" s="106">
        <f>IS!L17</f>
        <v>0.1980278204509108</v>
      </c>
      <c r="O44" s="106">
        <f>IS!M17</f>
        <v>0.2100127689493678</v>
      </c>
      <c r="P44" s="106">
        <f>IS!N17</f>
        <v>0.2211504276295348</v>
      </c>
      <c r="Q44" s="106">
        <f>IS!O17</f>
        <v>0.23021547959952945</v>
      </c>
      <c r="R44" s="106">
        <f>IS!P17</f>
        <v>0.23740559868265618</v>
      </c>
      <c r="S44" s="100"/>
    </row>
    <row r="45" spans="1:19" ht="13.05" customHeight="1" x14ac:dyDescent="0.3">
      <c r="A45" s="100"/>
      <c r="B45" s="100"/>
      <c r="C45" s="100"/>
      <c r="D45" s="100"/>
      <c r="E45" s="100"/>
      <c r="F45" s="100"/>
      <c r="G45" s="100"/>
      <c r="H45" s="105" t="s">
        <v>322</v>
      </c>
      <c r="I45" s="107" t="e">
        <f>NA()</f>
        <v>#N/A</v>
      </c>
      <c r="J45" s="107" t="e">
        <f>NA()</f>
        <v>#N/A</v>
      </c>
      <c r="K45" s="107" t="e">
        <f>NA()</f>
        <v>#N/A</v>
      </c>
      <c r="L45" s="107" t="e">
        <f>NA()</f>
        <v>#N/A</v>
      </c>
      <c r="M45" s="106">
        <f>IS!K30</f>
        <v>0.11075959378658004</v>
      </c>
      <c r="N45" s="106">
        <f>IS!L30</f>
        <v>0.13387434288855737</v>
      </c>
      <c r="O45" s="106">
        <f>IS!M30</f>
        <v>0.14440300816681878</v>
      </c>
      <c r="P45" s="106">
        <f>IS!N30</f>
        <v>0.15853357458742465</v>
      </c>
      <c r="Q45" s="106">
        <f>IS!O30</f>
        <v>0.17095743948662631</v>
      </c>
      <c r="R45" s="106">
        <f>IS!P30</f>
        <v>0.17996999699392902</v>
      </c>
      <c r="S45" s="100"/>
    </row>
    <row r="46" spans="1:19" ht="13.05" customHeight="1" x14ac:dyDescent="0.3">
      <c r="A46" s="100"/>
      <c r="B46" s="100"/>
      <c r="C46" s="100"/>
      <c r="D46" s="100"/>
      <c r="E46" s="100"/>
      <c r="F46" s="100"/>
      <c r="G46" s="100"/>
      <c r="H46" s="105" t="s">
        <v>323</v>
      </c>
      <c r="I46" s="107" t="e">
        <f>NA()</f>
        <v>#N/A</v>
      </c>
      <c r="J46" s="107" t="e">
        <f>NA()</f>
        <v>#N/A</v>
      </c>
      <c r="K46" s="107" t="e">
        <f>NA()</f>
        <v>#N/A</v>
      </c>
      <c r="L46" s="107" t="e">
        <f>NA()</f>
        <v>#N/A</v>
      </c>
      <c r="M46" s="106">
        <f>IS!K26</f>
        <v>4.59257384500198E-2</v>
      </c>
      <c r="N46" s="106">
        <f>IS!L26</f>
        <v>6.8027820450910784E-2</v>
      </c>
      <c r="O46" s="106">
        <f>IS!M26</f>
        <v>8.2012768949367765E-2</v>
      </c>
      <c r="P46" s="106">
        <f>IS!N26</f>
        <v>0.1011504276295348</v>
      </c>
      <c r="Q46" s="106">
        <f>IS!O26</f>
        <v>0.11721547959952947</v>
      </c>
      <c r="R46" s="106">
        <f>IS!P26</f>
        <v>0.12740559868265619</v>
      </c>
      <c r="S46" s="100"/>
    </row>
    <row r="47" spans="1:19" ht="13.05" customHeight="1" x14ac:dyDescent="0.3">
      <c r="A47" s="100"/>
      <c r="B47" s="100"/>
      <c r="C47" s="100"/>
      <c r="D47" s="100"/>
      <c r="E47" s="100"/>
      <c r="F47" s="100"/>
      <c r="G47" s="100"/>
      <c r="H47" s="108" t="s">
        <v>324</v>
      </c>
      <c r="I47" s="107" t="e">
        <f>NA()</f>
        <v>#N/A</v>
      </c>
      <c r="J47" s="107" t="e">
        <f>NA()</f>
        <v>#N/A</v>
      </c>
      <c r="K47" s="107" t="e">
        <f>NA()</f>
        <v>#N/A</v>
      </c>
      <c r="L47" s="107" t="e">
        <f>NA()</f>
        <v>#N/A</v>
      </c>
      <c r="M47" s="106">
        <f>IS!K44</f>
        <v>4.0652978582049713E-2</v>
      </c>
      <c r="N47" s="106">
        <f>IS!L44</f>
        <v>5.4121077951883555E-2</v>
      </c>
      <c r="O47" s="106">
        <f>IS!M44</f>
        <v>6.5453211742832668E-2</v>
      </c>
      <c r="P47" s="106">
        <f>IS!N44</f>
        <v>8.0677116488411915E-2</v>
      </c>
      <c r="Q47" s="106">
        <f>IS!O44</f>
        <v>9.2805725256289856E-2</v>
      </c>
      <c r="R47" s="106">
        <f>IS!P44</f>
        <v>0.10161425106928879</v>
      </c>
      <c r="S47" s="100"/>
    </row>
    <row r="48" spans="1:19" ht="15" customHeight="1" x14ac:dyDescent="0.3">
      <c r="A48" s="100"/>
      <c r="B48" s="100"/>
      <c r="C48" s="100"/>
      <c r="D48" s="100"/>
      <c r="E48" s="100"/>
      <c r="F48" s="100"/>
      <c r="G48" s="100"/>
      <c r="H48" s="349" t="s">
        <v>325</v>
      </c>
      <c r="I48" s="297"/>
      <c r="J48" s="297"/>
      <c r="K48" s="297"/>
      <c r="L48" s="297"/>
      <c r="M48" s="297"/>
      <c r="N48" s="297"/>
      <c r="O48" s="297"/>
      <c r="P48" s="297"/>
      <c r="Q48" s="297"/>
      <c r="R48" s="297"/>
      <c r="S48" s="100"/>
    </row>
    <row r="49" spans="1:19" x14ac:dyDescent="0.3">
      <c r="A49" s="100"/>
      <c r="B49" s="100"/>
      <c r="C49" s="100"/>
      <c r="D49" s="100"/>
      <c r="E49" s="100"/>
      <c r="F49" s="100"/>
      <c r="G49" s="100"/>
      <c r="H49" s="100"/>
      <c r="I49" s="100"/>
      <c r="J49" s="100"/>
      <c r="K49" s="100"/>
      <c r="L49" s="100"/>
      <c r="M49" s="100"/>
      <c r="N49" s="100"/>
      <c r="O49" s="100"/>
      <c r="P49" s="100"/>
      <c r="Q49" s="100"/>
      <c r="R49" s="100"/>
      <c r="S49" s="100"/>
    </row>
    <row r="50" spans="1:19" x14ac:dyDescent="0.3">
      <c r="A50" s="100"/>
      <c r="B50" s="100"/>
      <c r="C50" s="100"/>
      <c r="D50" s="100"/>
      <c r="E50" s="100"/>
      <c r="F50" s="100"/>
      <c r="G50" s="100"/>
      <c r="H50" s="100"/>
      <c r="I50" s="100"/>
      <c r="J50" s="100"/>
      <c r="K50" s="100"/>
      <c r="L50" s="100"/>
      <c r="M50" s="100"/>
      <c r="N50" s="100"/>
      <c r="O50" s="100"/>
      <c r="P50" s="100"/>
      <c r="Q50" s="100"/>
      <c r="R50" s="100"/>
      <c r="S50" s="100"/>
    </row>
    <row r="51" spans="1:19" x14ac:dyDescent="0.3">
      <c r="A51" s="100"/>
      <c r="B51" s="100"/>
      <c r="C51" s="100"/>
      <c r="D51" s="100"/>
      <c r="E51" s="100"/>
      <c r="F51" s="100"/>
      <c r="G51" s="100"/>
      <c r="H51" s="100"/>
      <c r="I51" s="100"/>
      <c r="J51" s="100"/>
      <c r="K51" s="100"/>
      <c r="L51" s="100"/>
      <c r="M51" s="100"/>
      <c r="N51" s="100"/>
      <c r="O51" s="100"/>
      <c r="P51" s="100"/>
      <c r="Q51" s="100"/>
      <c r="R51" s="100"/>
      <c r="S51" s="100"/>
    </row>
    <row r="52" spans="1:19" x14ac:dyDescent="0.3">
      <c r="A52" s="100"/>
      <c r="B52" s="100"/>
      <c r="C52" s="100"/>
      <c r="D52" s="100"/>
      <c r="E52" s="100"/>
      <c r="F52" s="100"/>
      <c r="G52" s="100"/>
      <c r="H52" s="100"/>
      <c r="I52" s="100"/>
      <c r="J52" s="100"/>
      <c r="K52" s="100"/>
      <c r="L52" s="100"/>
      <c r="M52" s="100"/>
      <c r="N52" s="100"/>
      <c r="O52" s="100"/>
      <c r="P52" s="100"/>
      <c r="Q52" s="100"/>
      <c r="R52" s="100"/>
      <c r="S52" s="100"/>
    </row>
    <row r="53" spans="1:19" x14ac:dyDescent="0.3">
      <c r="A53" s="100"/>
      <c r="B53" s="100"/>
      <c r="C53" s="100"/>
      <c r="D53" s="100"/>
      <c r="E53" s="100"/>
      <c r="F53" s="100"/>
      <c r="G53" s="100"/>
      <c r="H53" s="100"/>
      <c r="I53" s="100"/>
      <c r="J53" s="100"/>
      <c r="K53" s="100"/>
      <c r="L53" s="100"/>
      <c r="M53" s="100"/>
      <c r="N53" s="100"/>
      <c r="O53" s="100"/>
      <c r="P53" s="100"/>
      <c r="Q53" s="100"/>
      <c r="R53" s="100"/>
      <c r="S53" s="100"/>
    </row>
    <row r="54" spans="1:19" x14ac:dyDescent="0.3">
      <c r="A54" s="100"/>
      <c r="B54" s="100"/>
      <c r="C54" s="100"/>
      <c r="D54" s="100"/>
      <c r="E54" s="100"/>
      <c r="F54" s="100"/>
      <c r="G54" s="100"/>
      <c r="H54" s="100"/>
      <c r="I54" s="100"/>
      <c r="J54" s="100"/>
      <c r="K54" s="100"/>
      <c r="L54" s="100"/>
      <c r="M54" s="100"/>
      <c r="N54" s="100"/>
      <c r="O54" s="100"/>
      <c r="P54" s="100"/>
      <c r="Q54" s="100"/>
      <c r="R54" s="100"/>
      <c r="S54" s="100"/>
    </row>
    <row r="55" spans="1:19" x14ac:dyDescent="0.3">
      <c r="A55" s="100"/>
      <c r="B55" s="100"/>
      <c r="C55" s="100"/>
      <c r="D55" s="100"/>
      <c r="E55" s="100"/>
      <c r="F55" s="100"/>
      <c r="G55" s="100"/>
      <c r="H55" s="100"/>
      <c r="I55" s="100"/>
      <c r="J55" s="100"/>
      <c r="K55" s="100"/>
      <c r="L55" s="100"/>
      <c r="M55" s="100"/>
      <c r="N55" s="100"/>
      <c r="O55" s="100"/>
      <c r="P55" s="100"/>
      <c r="Q55" s="100"/>
      <c r="R55" s="100"/>
      <c r="S55" s="100"/>
    </row>
    <row r="56" spans="1:19" x14ac:dyDescent="0.3">
      <c r="A56" s="100"/>
      <c r="B56" s="100"/>
      <c r="C56" s="100"/>
      <c r="D56" s="100"/>
      <c r="E56" s="100"/>
      <c r="F56" s="100"/>
      <c r="G56" s="100"/>
      <c r="H56" s="100"/>
      <c r="I56" s="100"/>
      <c r="J56" s="100"/>
      <c r="K56" s="100"/>
      <c r="L56" s="100"/>
      <c r="M56" s="100"/>
      <c r="N56" s="100"/>
      <c r="O56" s="100"/>
      <c r="P56" s="100"/>
      <c r="Q56" s="100"/>
      <c r="R56" s="100"/>
      <c r="S56" s="100"/>
    </row>
    <row r="57" spans="1:19" x14ac:dyDescent="0.3">
      <c r="A57" s="100"/>
      <c r="B57" s="100"/>
      <c r="C57" s="100"/>
      <c r="D57" s="100"/>
      <c r="E57" s="100"/>
      <c r="F57" s="100"/>
      <c r="G57" s="100"/>
      <c r="H57" s="100"/>
      <c r="I57" s="100"/>
      <c r="J57" s="100"/>
      <c r="K57" s="100"/>
      <c r="L57" s="100"/>
      <c r="M57" s="100"/>
      <c r="N57" s="100"/>
      <c r="O57" s="100"/>
      <c r="P57" s="100"/>
      <c r="Q57" s="100"/>
      <c r="R57" s="100"/>
      <c r="S57" s="100"/>
    </row>
    <row r="58" spans="1:19" x14ac:dyDescent="0.3">
      <c r="A58" s="100"/>
      <c r="B58" s="100"/>
      <c r="C58" s="100"/>
      <c r="D58" s="100"/>
      <c r="E58" s="100"/>
      <c r="F58" s="100"/>
      <c r="G58" s="100"/>
      <c r="H58" s="100"/>
      <c r="I58" s="100"/>
      <c r="J58" s="100"/>
      <c r="K58" s="100"/>
      <c r="L58" s="100"/>
      <c r="M58" s="100"/>
      <c r="N58" s="100"/>
      <c r="O58" s="100"/>
      <c r="P58" s="100"/>
      <c r="Q58" s="100"/>
      <c r="R58" s="100"/>
      <c r="S58" s="100"/>
    </row>
    <row r="59" spans="1:19" x14ac:dyDescent="0.3">
      <c r="A59" s="100"/>
      <c r="B59" s="100"/>
      <c r="C59" s="100"/>
      <c r="D59" s="100"/>
      <c r="E59" s="100"/>
      <c r="F59" s="100"/>
      <c r="G59" s="100"/>
      <c r="H59" s="100"/>
      <c r="I59" s="100"/>
      <c r="J59" s="100"/>
      <c r="K59" s="100"/>
      <c r="L59" s="100"/>
      <c r="M59" s="100"/>
      <c r="N59" s="100"/>
      <c r="O59" s="100"/>
      <c r="P59" s="100"/>
      <c r="Q59" s="100"/>
      <c r="R59" s="100"/>
      <c r="S59" s="100"/>
    </row>
  </sheetData>
  <mergeCells count="5">
    <mergeCell ref="A1:D1"/>
    <mergeCell ref="E1:F1"/>
    <mergeCell ref="H48:R48"/>
    <mergeCell ref="G1:P1"/>
    <mergeCell ref="A2:P2"/>
  </mergeCells>
  <hyperlinks>
    <hyperlink ref="E1" location="Cover!A1" display="◄  Cover"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F9198"/>
  </sheetPr>
  <dimension ref="A1:R106"/>
  <sheetViews>
    <sheetView showGridLines="0" topLeftCell="A4" workbookViewId="0">
      <selection sqref="A1:D1"/>
    </sheetView>
  </sheetViews>
  <sheetFormatPr defaultColWidth="8.6640625" defaultRowHeight="14.4" x14ac:dyDescent="0.3"/>
  <cols>
    <col min="1" max="1" width="2.21875" customWidth="1"/>
    <col min="2" max="2" width="30" customWidth="1"/>
    <col min="3" max="3" width="9" customWidth="1"/>
    <col min="4" max="4" width="11" customWidth="1"/>
    <col min="5" max="5" width="12" customWidth="1"/>
    <col min="6" max="6" width="13.44140625" customWidth="1"/>
    <col min="7" max="7" width="12" customWidth="1"/>
    <col min="8" max="9" width="11.44140625" customWidth="1"/>
    <col min="10" max="10" width="12.44140625" customWidth="1"/>
    <col min="11" max="11" width="11.44140625" customWidth="1"/>
    <col min="12" max="12" width="9.44140625" customWidth="1"/>
    <col min="13" max="13" width="11" customWidth="1"/>
    <col min="14" max="14" width="9.44140625" customWidth="1"/>
    <col min="15" max="16" width="8.44140625" customWidth="1"/>
    <col min="17" max="18" width="11.44140625" customWidth="1"/>
  </cols>
  <sheetData>
    <row r="1" spans="1:18" ht="27" customHeight="1" x14ac:dyDescent="0.3">
      <c r="A1" s="301" t="s">
        <v>1</v>
      </c>
      <c r="B1" s="299"/>
      <c r="C1" s="299"/>
      <c r="D1" s="299"/>
      <c r="E1" s="298" t="s">
        <v>71</v>
      </c>
      <c r="F1" s="299"/>
      <c r="G1" s="304" t="s">
        <v>326</v>
      </c>
      <c r="H1" s="299"/>
      <c r="I1" s="299"/>
      <c r="J1" s="299"/>
      <c r="K1" s="299"/>
      <c r="L1" s="299"/>
      <c r="M1" s="299"/>
      <c r="N1" s="299"/>
      <c r="O1" s="299"/>
      <c r="P1" s="299"/>
    </row>
    <row r="2" spans="1:18" ht="13.05" customHeight="1" x14ac:dyDescent="0.3">
      <c r="A2" s="354" t="s">
        <v>327</v>
      </c>
      <c r="B2" s="297"/>
      <c r="C2" s="297"/>
      <c r="D2" s="297"/>
      <c r="E2" s="297"/>
      <c r="F2" s="297"/>
      <c r="G2" s="297"/>
      <c r="H2" s="297"/>
      <c r="I2" s="297"/>
      <c r="J2" s="297"/>
      <c r="K2" s="297"/>
      <c r="L2" s="297"/>
      <c r="M2" s="297"/>
      <c r="N2" s="297"/>
      <c r="O2" s="297"/>
      <c r="P2" s="297"/>
    </row>
    <row r="3" spans="1:18" ht="16.95" customHeight="1" x14ac:dyDescent="0.3">
      <c r="A3" s="350" t="s">
        <v>328</v>
      </c>
      <c r="B3" s="351"/>
      <c r="C3" s="351"/>
      <c r="D3" s="351"/>
      <c r="E3" s="351"/>
      <c r="F3" s="351"/>
      <c r="G3" s="351"/>
      <c r="H3" s="351"/>
      <c r="I3" s="351"/>
      <c r="J3" s="351"/>
      <c r="K3" s="351"/>
      <c r="L3" s="351"/>
      <c r="M3" s="351"/>
      <c r="N3" s="351"/>
      <c r="O3" s="351"/>
      <c r="P3" s="351"/>
    </row>
    <row r="4" spans="1:18" s="17" customFormat="1" ht="46.05" customHeight="1" x14ac:dyDescent="0.3">
      <c r="A4" s="352" t="s">
        <v>329</v>
      </c>
      <c r="B4" s="353"/>
      <c r="C4" s="353"/>
      <c r="D4" s="353"/>
      <c r="E4" s="353"/>
      <c r="F4" s="353"/>
      <c r="G4" s="353"/>
      <c r="H4" s="353"/>
      <c r="I4" s="353"/>
      <c r="J4" s="353"/>
      <c r="K4" s="353"/>
      <c r="L4" s="353"/>
      <c r="M4" s="353"/>
      <c r="N4" s="353"/>
      <c r="O4" s="353"/>
      <c r="P4" s="353"/>
    </row>
    <row r="5" spans="1:18" ht="30" customHeight="1" x14ac:dyDescent="0.3">
      <c r="A5" s="100"/>
      <c r="B5" s="109" t="s">
        <v>330</v>
      </c>
      <c r="C5" s="352" t="s">
        <v>331</v>
      </c>
      <c r="D5" s="297"/>
      <c r="E5" s="297"/>
      <c r="F5" s="297"/>
      <c r="G5" s="297"/>
      <c r="H5" s="297"/>
      <c r="I5" s="297"/>
      <c r="J5" s="297"/>
      <c r="K5" s="297"/>
      <c r="L5" s="297"/>
      <c r="M5" s="297"/>
      <c r="N5" s="297"/>
      <c r="O5" s="297"/>
      <c r="P5" s="297"/>
    </row>
    <row r="6" spans="1:18" ht="30" customHeight="1" x14ac:dyDescent="0.3">
      <c r="A6" s="100"/>
      <c r="B6" s="109" t="s">
        <v>332</v>
      </c>
      <c r="C6" s="352" t="s">
        <v>333</v>
      </c>
      <c r="D6" s="297"/>
      <c r="E6" s="297"/>
      <c r="F6" s="297"/>
      <c r="G6" s="297"/>
      <c r="H6" s="297"/>
      <c r="I6" s="297"/>
      <c r="J6" s="297"/>
      <c r="K6" s="297"/>
      <c r="L6" s="297"/>
      <c r="M6" s="297"/>
      <c r="N6" s="297"/>
      <c r="O6" s="297"/>
      <c r="P6" s="297"/>
    </row>
    <row r="7" spans="1:18" ht="30" customHeight="1" x14ac:dyDescent="0.3">
      <c r="A7" s="100"/>
      <c r="B7" s="109" t="s">
        <v>334</v>
      </c>
      <c r="C7" s="352" t="s">
        <v>335</v>
      </c>
      <c r="D7" s="297"/>
      <c r="E7" s="297"/>
      <c r="F7" s="297"/>
      <c r="G7" s="297"/>
      <c r="H7" s="297"/>
      <c r="I7" s="297"/>
      <c r="J7" s="297"/>
      <c r="K7" s="297"/>
      <c r="L7" s="297"/>
      <c r="M7" s="297"/>
      <c r="N7" s="297"/>
      <c r="O7" s="297"/>
      <c r="P7" s="297"/>
    </row>
    <row r="8" spans="1:18" ht="30" customHeight="1" x14ac:dyDescent="0.3">
      <c r="A8" s="100"/>
      <c r="B8" s="109" t="s">
        <v>336</v>
      </c>
      <c r="C8" s="352" t="s">
        <v>337</v>
      </c>
      <c r="D8" s="297"/>
      <c r="E8" s="297"/>
      <c r="F8" s="297"/>
      <c r="G8" s="297"/>
      <c r="H8" s="297"/>
      <c r="I8" s="297"/>
      <c r="J8" s="297"/>
      <c r="K8" s="297"/>
      <c r="L8" s="297"/>
      <c r="M8" s="297"/>
      <c r="N8" s="297"/>
      <c r="O8" s="297"/>
      <c r="P8" s="297"/>
    </row>
    <row r="9" spans="1:18" ht="30" customHeight="1" x14ac:dyDescent="0.3">
      <c r="A9" s="100"/>
      <c r="B9" s="109" t="s">
        <v>338</v>
      </c>
      <c r="C9" s="352" t="s">
        <v>339</v>
      </c>
      <c r="D9" s="297"/>
      <c r="E9" s="297"/>
      <c r="F9" s="297"/>
      <c r="G9" s="297"/>
      <c r="H9" s="297"/>
      <c r="I9" s="297"/>
      <c r="J9" s="297"/>
      <c r="K9" s="297"/>
      <c r="L9" s="297"/>
      <c r="M9" s="297"/>
      <c r="N9" s="297"/>
      <c r="O9" s="297"/>
      <c r="P9" s="297"/>
    </row>
    <row r="10" spans="1:18" ht="30" customHeight="1" x14ac:dyDescent="0.3">
      <c r="A10" s="100"/>
      <c r="B10" s="109" t="s">
        <v>340</v>
      </c>
      <c r="C10" s="352" t="s">
        <v>341</v>
      </c>
      <c r="D10" s="297"/>
      <c r="E10" s="297"/>
      <c r="F10" s="297"/>
      <c r="G10" s="297"/>
      <c r="H10" s="297"/>
      <c r="I10" s="297"/>
      <c r="J10" s="297"/>
      <c r="K10" s="297"/>
      <c r="L10" s="297"/>
      <c r="M10" s="297"/>
      <c r="N10" s="297"/>
      <c r="O10" s="297"/>
      <c r="P10" s="297"/>
    </row>
    <row r="11" spans="1:18" ht="30" customHeight="1" x14ac:dyDescent="0.3">
      <c r="A11" s="100"/>
      <c r="B11" s="109" t="s">
        <v>342</v>
      </c>
      <c r="C11" s="352" t="s">
        <v>343</v>
      </c>
      <c r="D11" s="297"/>
      <c r="E11" s="297"/>
      <c r="F11" s="297"/>
      <c r="G11" s="297"/>
      <c r="H11" s="297"/>
      <c r="I11" s="297"/>
      <c r="J11" s="297"/>
      <c r="K11" s="297"/>
      <c r="L11" s="297"/>
      <c r="M11" s="297"/>
      <c r="N11" s="297"/>
      <c r="O11" s="297"/>
      <c r="P11" s="297"/>
    </row>
    <row r="12" spans="1:18" ht="6" customHeight="1" x14ac:dyDescent="0.3">
      <c r="A12" s="100"/>
      <c r="B12" s="100"/>
      <c r="C12" s="100"/>
      <c r="D12" s="100"/>
      <c r="E12" s="100"/>
      <c r="F12" s="100"/>
      <c r="G12" s="100"/>
      <c r="H12" s="100"/>
      <c r="I12" s="100"/>
      <c r="J12" s="100"/>
      <c r="K12" s="100"/>
      <c r="L12" s="100"/>
      <c r="M12" s="100"/>
      <c r="N12" s="100"/>
      <c r="O12" s="100"/>
      <c r="P12" s="100"/>
    </row>
    <row r="13" spans="1:18" ht="43.95" customHeight="1" x14ac:dyDescent="0.3">
      <c r="A13" s="355" t="s">
        <v>344</v>
      </c>
      <c r="B13" s="297"/>
      <c r="C13" s="297"/>
      <c r="D13" s="297"/>
      <c r="E13" s="297"/>
      <c r="F13" s="297"/>
      <c r="G13" s="297"/>
      <c r="H13" s="297"/>
      <c r="I13" s="297"/>
      <c r="J13" s="297"/>
      <c r="K13" s="297"/>
      <c r="L13" s="297"/>
      <c r="M13" s="297"/>
      <c r="N13" s="297"/>
      <c r="O13" s="297"/>
      <c r="P13" s="297"/>
    </row>
    <row r="14" spans="1:18" ht="6" customHeight="1" x14ac:dyDescent="0.3">
      <c r="A14" s="100"/>
      <c r="B14" s="100"/>
      <c r="C14" s="100"/>
      <c r="D14" s="100"/>
      <c r="E14" s="100"/>
      <c r="F14" s="100"/>
      <c r="G14" s="100"/>
      <c r="H14" s="100"/>
      <c r="I14" s="100"/>
      <c r="J14" s="100"/>
      <c r="K14" s="100"/>
      <c r="L14" s="100"/>
      <c r="M14" s="100"/>
      <c r="N14" s="100"/>
      <c r="O14" s="100"/>
      <c r="P14" s="100"/>
    </row>
    <row r="15" spans="1:18" ht="16.95" customHeight="1" x14ac:dyDescent="0.3">
      <c r="A15" s="350" t="s">
        <v>345</v>
      </c>
      <c r="B15" s="351"/>
      <c r="C15" s="351"/>
      <c r="D15" s="351"/>
      <c r="E15" s="351"/>
      <c r="F15" s="351"/>
      <c r="G15" s="351"/>
      <c r="H15" s="351"/>
      <c r="I15" s="351"/>
      <c r="J15" s="351"/>
      <c r="K15" s="351"/>
      <c r="L15" s="351"/>
      <c r="M15" s="351"/>
      <c r="N15" s="351"/>
      <c r="O15" s="351"/>
      <c r="P15" s="351"/>
    </row>
    <row r="16" spans="1:18" ht="19.95" customHeight="1" x14ac:dyDescent="0.3">
      <c r="A16" s="100"/>
      <c r="B16" s="110" t="s">
        <v>346</v>
      </c>
      <c r="C16" s="111" t="s">
        <v>347</v>
      </c>
      <c r="D16" s="111" t="s">
        <v>348</v>
      </c>
      <c r="E16" s="111" t="s">
        <v>349</v>
      </c>
      <c r="F16" s="111" t="s">
        <v>350</v>
      </c>
      <c r="G16" s="111" t="s">
        <v>351</v>
      </c>
      <c r="H16" s="111" t="s">
        <v>194</v>
      </c>
      <c r="I16" s="111" t="s">
        <v>352</v>
      </c>
      <c r="J16" s="111" t="s">
        <v>268</v>
      </c>
      <c r="K16" s="111" t="s">
        <v>353</v>
      </c>
      <c r="L16" s="111" t="s">
        <v>354</v>
      </c>
      <c r="M16" s="111" t="s">
        <v>355</v>
      </c>
      <c r="N16" s="111" t="s">
        <v>356</v>
      </c>
      <c r="O16" s="111" t="s">
        <v>357</v>
      </c>
      <c r="P16" s="111" t="s">
        <v>358</v>
      </c>
      <c r="Q16" s="111" t="s">
        <v>359</v>
      </c>
      <c r="R16" s="111" t="s">
        <v>360</v>
      </c>
    </row>
    <row r="17" spans="1:18" ht="14.1" customHeight="1" x14ac:dyDescent="0.3">
      <c r="A17" s="100"/>
      <c r="B17" s="112" t="s">
        <v>361</v>
      </c>
      <c r="C17" s="113" t="s">
        <v>362</v>
      </c>
      <c r="D17" s="114">
        <v>11.01</v>
      </c>
      <c r="E17" s="115">
        <v>110450</v>
      </c>
      <c r="F17" s="115">
        <v>111890</v>
      </c>
      <c r="G17" s="115">
        <v>114460</v>
      </c>
      <c r="H17" s="115">
        <v>17752</v>
      </c>
      <c r="I17" s="115">
        <v>5898</v>
      </c>
      <c r="J17" s="115">
        <v>4310</v>
      </c>
      <c r="K17" s="115">
        <v>40240</v>
      </c>
      <c r="L17" s="116">
        <f t="shared" ref="L17:L23" si="0">IF(G17&lt;=0,"NM",F17/G17)</f>
        <v>0.97754674121964003</v>
      </c>
      <c r="M17" s="116">
        <f t="shared" ref="M17:M23" si="1">IF(NOT(ISNUMBER(H17)),"NM",IF(H17&lt;=0,"NM",F17/H17))</f>
        <v>6.3029517800811172</v>
      </c>
      <c r="N17" s="116">
        <f t="shared" ref="N17:N23" si="2">IF(I17&lt;=0,"NM",F17/I17)</f>
        <v>18.970837572058326</v>
      </c>
      <c r="O17" s="116">
        <f t="shared" ref="O17:O23" si="3">IF(J17&lt;=0,"NM",E17/J17)</f>
        <v>25.626450116009281</v>
      </c>
      <c r="P17" s="116">
        <f t="shared" ref="P17:P23" si="4">IF(K17&lt;=0,"NM",E17/K17)</f>
        <v>2.7447813121272366</v>
      </c>
      <c r="Q17" s="117">
        <f t="shared" ref="Q17:Q23" si="5">IF(H17&lt;=0,"NM",H17/G17)</f>
        <v>0.15509348243928009</v>
      </c>
      <c r="R17" s="117">
        <f t="shared" ref="R17:R23" si="6">IF(I17&lt;=0,"NM",I17/G17)</f>
        <v>5.1528918399440855E-2</v>
      </c>
    </row>
    <row r="18" spans="1:18" ht="14.1" customHeight="1" x14ac:dyDescent="0.3">
      <c r="A18" s="100"/>
      <c r="B18" s="118" t="s">
        <v>363</v>
      </c>
      <c r="C18" s="119" t="s">
        <v>364</v>
      </c>
      <c r="D18" s="120">
        <v>15.91</v>
      </c>
      <c r="E18" s="121">
        <v>23040</v>
      </c>
      <c r="F18" s="121">
        <v>23080</v>
      </c>
      <c r="G18" s="121">
        <v>5883</v>
      </c>
      <c r="H18" s="121">
        <v>-2714</v>
      </c>
      <c r="I18" s="121">
        <v>-3533</v>
      </c>
      <c r="J18" s="121">
        <v>-3233</v>
      </c>
      <c r="K18" s="121">
        <v>5130</v>
      </c>
      <c r="L18" s="122">
        <f t="shared" si="0"/>
        <v>3.9231684514703384</v>
      </c>
      <c r="M18" s="122" t="str">
        <f t="shared" si="1"/>
        <v>NM</v>
      </c>
      <c r="N18" s="122" t="str">
        <f t="shared" si="2"/>
        <v>NM</v>
      </c>
      <c r="O18" s="122" t="str">
        <f t="shared" si="3"/>
        <v>NM</v>
      </c>
      <c r="P18" s="122">
        <f t="shared" si="4"/>
        <v>4.4912280701754383</v>
      </c>
      <c r="Q18" s="123" t="str">
        <f t="shared" si="5"/>
        <v>NM</v>
      </c>
      <c r="R18" s="123" t="str">
        <f t="shared" si="6"/>
        <v>NM</v>
      </c>
    </row>
    <row r="19" spans="1:18" ht="14.1" customHeight="1" x14ac:dyDescent="0.3">
      <c r="A19" s="100"/>
      <c r="B19" s="112" t="s">
        <v>365</v>
      </c>
      <c r="C19" s="113" t="s">
        <v>366</v>
      </c>
      <c r="D19" s="114">
        <v>4.5999999999999996</v>
      </c>
      <c r="E19" s="115">
        <v>1810</v>
      </c>
      <c r="F19" s="115">
        <v>4710</v>
      </c>
      <c r="G19" s="115">
        <v>1547</v>
      </c>
      <c r="H19" s="115">
        <v>-3588</v>
      </c>
      <c r="I19" s="115">
        <v>-4069</v>
      </c>
      <c r="J19" s="115">
        <v>-4605</v>
      </c>
      <c r="K19" s="115">
        <v>1848</v>
      </c>
      <c r="L19" s="116">
        <f t="shared" si="0"/>
        <v>3.0446024563671621</v>
      </c>
      <c r="M19" s="116" t="str">
        <f t="shared" si="1"/>
        <v>NM</v>
      </c>
      <c r="N19" s="116" t="str">
        <f t="shared" si="2"/>
        <v>NM</v>
      </c>
      <c r="O19" s="116" t="str">
        <f t="shared" si="3"/>
        <v>NM</v>
      </c>
      <c r="P19" s="116">
        <f t="shared" si="4"/>
        <v>0.97943722943722944</v>
      </c>
      <c r="Q19" s="117" t="str">
        <f t="shared" si="5"/>
        <v>NM</v>
      </c>
      <c r="R19" s="117" t="str">
        <f t="shared" si="6"/>
        <v>NM</v>
      </c>
    </row>
    <row r="20" spans="1:18" ht="14.1" customHeight="1" x14ac:dyDescent="0.3">
      <c r="A20" s="100"/>
      <c r="B20" s="118" t="s">
        <v>367</v>
      </c>
      <c r="C20" s="119" t="s">
        <v>368</v>
      </c>
      <c r="D20" s="120">
        <v>3.86</v>
      </c>
      <c r="E20" s="121">
        <v>9660</v>
      </c>
      <c r="F20" s="121">
        <v>7590</v>
      </c>
      <c r="G20" s="121">
        <v>16800</v>
      </c>
      <c r="H20" s="121">
        <v>502</v>
      </c>
      <c r="I20" s="121">
        <v>-561</v>
      </c>
      <c r="J20" s="121">
        <v>-700</v>
      </c>
      <c r="K20" s="121">
        <v>2135</v>
      </c>
      <c r="L20" s="122">
        <f t="shared" si="0"/>
        <v>0.45178571428571429</v>
      </c>
      <c r="M20" s="122">
        <f t="shared" si="1"/>
        <v>15.119521912350598</v>
      </c>
      <c r="N20" s="122" t="str">
        <f t="shared" si="2"/>
        <v>NM</v>
      </c>
      <c r="O20" s="122" t="str">
        <f t="shared" si="3"/>
        <v>NM</v>
      </c>
      <c r="P20" s="122">
        <f t="shared" si="4"/>
        <v>4.5245901639344259</v>
      </c>
      <c r="Q20" s="123">
        <f t="shared" si="5"/>
        <v>2.988095238095238E-2</v>
      </c>
      <c r="R20" s="123" t="str">
        <f t="shared" si="6"/>
        <v>NM</v>
      </c>
    </row>
    <row r="21" spans="1:18" ht="14.1" customHeight="1" x14ac:dyDescent="0.3">
      <c r="A21" s="100"/>
      <c r="B21" s="112" t="s">
        <v>369</v>
      </c>
      <c r="C21" s="113" t="s">
        <v>370</v>
      </c>
      <c r="D21" s="114">
        <v>12.06</v>
      </c>
      <c r="E21" s="115">
        <v>11830</v>
      </c>
      <c r="F21" s="115">
        <v>1390</v>
      </c>
      <c r="G21" s="115">
        <v>15430</v>
      </c>
      <c r="H21" s="115">
        <v>-329</v>
      </c>
      <c r="I21" s="115">
        <v>-1012</v>
      </c>
      <c r="J21" s="115">
        <v>-679</v>
      </c>
      <c r="K21" s="115">
        <v>9710</v>
      </c>
      <c r="L21" s="116">
        <f t="shared" si="0"/>
        <v>9.0084251458198317E-2</v>
      </c>
      <c r="M21" s="116" t="str">
        <f t="shared" si="1"/>
        <v>NM</v>
      </c>
      <c r="N21" s="116" t="str">
        <f t="shared" si="2"/>
        <v>NM</v>
      </c>
      <c r="O21" s="116" t="str">
        <f t="shared" si="3"/>
        <v>NM</v>
      </c>
      <c r="P21" s="116">
        <f t="shared" si="4"/>
        <v>1.2183316168898044</v>
      </c>
      <c r="Q21" s="117" t="str">
        <f t="shared" si="5"/>
        <v>NM</v>
      </c>
      <c r="R21" s="117" t="str">
        <f t="shared" si="6"/>
        <v>NM</v>
      </c>
    </row>
    <row r="22" spans="1:18" ht="14.1" customHeight="1" x14ac:dyDescent="0.3">
      <c r="A22" s="100"/>
      <c r="B22" s="124" t="s">
        <v>371</v>
      </c>
      <c r="C22" s="125" t="s">
        <v>372</v>
      </c>
      <c r="D22" s="126">
        <v>87.22</v>
      </c>
      <c r="E22" s="127">
        <v>76530</v>
      </c>
      <c r="F22" s="127">
        <v>180580</v>
      </c>
      <c r="G22" s="127">
        <v>185528</v>
      </c>
      <c r="H22" s="127">
        <v>16462</v>
      </c>
      <c r="I22" s="127">
        <v>10284</v>
      </c>
      <c r="J22" s="127">
        <v>1857</v>
      </c>
      <c r="K22" s="127">
        <v>63640</v>
      </c>
      <c r="L22" s="128">
        <f t="shared" si="0"/>
        <v>0.97333017118709841</v>
      </c>
      <c r="M22" s="128">
        <f t="shared" si="1"/>
        <v>10.969505527882395</v>
      </c>
      <c r="N22" s="128">
        <f t="shared" si="2"/>
        <v>17.559315441462466</v>
      </c>
      <c r="O22" s="128">
        <f t="shared" si="3"/>
        <v>41.211631663974153</v>
      </c>
      <c r="P22" s="128">
        <f t="shared" si="4"/>
        <v>1.2025455688246387</v>
      </c>
      <c r="Q22" s="129">
        <f t="shared" si="5"/>
        <v>8.8730542020611439E-2</v>
      </c>
      <c r="R22" s="129">
        <f t="shared" si="6"/>
        <v>5.5430986158423526E-2</v>
      </c>
    </row>
    <row r="23" spans="1:18" ht="14.1" customHeight="1" x14ac:dyDescent="0.3">
      <c r="A23" s="100"/>
      <c r="B23" s="130" t="s">
        <v>373</v>
      </c>
      <c r="C23" s="113" t="s">
        <v>374</v>
      </c>
      <c r="D23" s="114">
        <v>14.41</v>
      </c>
      <c r="E23" s="115">
        <v>57460</v>
      </c>
      <c r="F23" s="115">
        <v>198640</v>
      </c>
      <c r="G23" s="115">
        <v>187973</v>
      </c>
      <c r="H23" s="115">
        <v>7643</v>
      </c>
      <c r="I23" s="115">
        <v>1609</v>
      </c>
      <c r="J23" s="115">
        <v>-7396</v>
      </c>
      <c r="K23" s="115">
        <v>35760</v>
      </c>
      <c r="L23" s="116">
        <f t="shared" si="0"/>
        <v>1.0567475116107101</v>
      </c>
      <c r="M23" s="116">
        <f t="shared" si="1"/>
        <v>25.989794583278819</v>
      </c>
      <c r="N23" s="116">
        <f t="shared" si="2"/>
        <v>123.45556246115599</v>
      </c>
      <c r="O23" s="116" t="str">
        <f t="shared" si="3"/>
        <v>NM</v>
      </c>
      <c r="P23" s="116">
        <f t="shared" si="4"/>
        <v>1.6068232662192394</v>
      </c>
      <c r="Q23" s="117">
        <f t="shared" si="5"/>
        <v>4.0660094800849061E-2</v>
      </c>
      <c r="R23" s="117">
        <f t="shared" si="6"/>
        <v>8.5597399626542118E-3</v>
      </c>
    </row>
    <row r="24" spans="1:18" ht="40.049999999999997" customHeight="1" x14ac:dyDescent="0.3">
      <c r="A24" s="100"/>
      <c r="B24" s="355" t="s">
        <v>375</v>
      </c>
      <c r="C24" s="297"/>
      <c r="D24" s="297"/>
      <c r="E24" s="297"/>
      <c r="F24" s="297"/>
      <c r="G24" s="297"/>
      <c r="H24" s="297"/>
      <c r="I24" s="297"/>
      <c r="J24" s="297"/>
      <c r="K24" s="297"/>
      <c r="L24" s="297"/>
      <c r="M24" s="297"/>
      <c r="N24" s="297"/>
      <c r="O24" s="297"/>
      <c r="P24" s="297"/>
      <c r="Q24" s="297"/>
      <c r="R24" s="297"/>
    </row>
    <row r="25" spans="1:18" ht="16.05" customHeight="1" x14ac:dyDescent="0.3">
      <c r="A25" s="100"/>
      <c r="B25" s="131" t="s">
        <v>376</v>
      </c>
      <c r="C25" s="72"/>
      <c r="D25" s="72"/>
      <c r="E25" s="72"/>
      <c r="F25" s="72"/>
      <c r="G25" s="72"/>
      <c r="H25" s="72"/>
      <c r="I25" s="72"/>
      <c r="J25" s="72"/>
      <c r="K25" s="72"/>
      <c r="L25" s="72"/>
      <c r="M25" s="72"/>
      <c r="N25" s="72"/>
      <c r="O25" s="72"/>
      <c r="P25" s="72"/>
    </row>
    <row r="26" spans="1:18" ht="14.1" customHeight="1" x14ac:dyDescent="0.3">
      <c r="A26" s="100"/>
      <c r="B26" s="132" t="s">
        <v>377</v>
      </c>
      <c r="C26" s="133"/>
      <c r="D26" s="133"/>
      <c r="E26" s="133"/>
      <c r="F26" s="133"/>
      <c r="G26" s="133"/>
      <c r="H26" s="133"/>
      <c r="I26" s="133"/>
      <c r="J26" s="133"/>
      <c r="K26" s="133"/>
      <c r="L26" s="133">
        <f t="shared" ref="L26:R26" si="7">IFERROR(MIN(L17:L23),"NM")</f>
        <v>9.0084251458198317E-2</v>
      </c>
      <c r="M26" s="133">
        <f t="shared" si="7"/>
        <v>6.3029517800811172</v>
      </c>
      <c r="N26" s="133">
        <f t="shared" si="7"/>
        <v>17.559315441462466</v>
      </c>
      <c r="O26" s="133">
        <f t="shared" si="7"/>
        <v>25.626450116009281</v>
      </c>
      <c r="P26" s="133">
        <f t="shared" si="7"/>
        <v>0.97943722943722944</v>
      </c>
      <c r="Q26" s="134">
        <f t="shared" si="7"/>
        <v>2.988095238095238E-2</v>
      </c>
      <c r="R26" s="134">
        <f t="shared" si="7"/>
        <v>8.5597399626542118E-3</v>
      </c>
    </row>
    <row r="27" spans="1:18" ht="14.1" customHeight="1" x14ac:dyDescent="0.3">
      <c r="A27" s="100"/>
      <c r="B27" s="135" t="s">
        <v>378</v>
      </c>
      <c r="C27" s="136"/>
      <c r="D27" s="136"/>
      <c r="E27" s="136"/>
      <c r="F27" s="136"/>
      <c r="G27" s="136"/>
      <c r="H27" s="136"/>
      <c r="I27" s="136"/>
      <c r="J27" s="136"/>
      <c r="K27" s="136"/>
      <c r="L27" s="136">
        <f t="shared" ref="L27:R27" si="8">IFERROR(QUARTILE(L17:L23,1),"NM")</f>
        <v>0.71255794273640638</v>
      </c>
      <c r="M27" s="136">
        <f t="shared" si="8"/>
        <v>9.8028670909320752</v>
      </c>
      <c r="N27" s="136">
        <f t="shared" si="8"/>
        <v>18.265076506760394</v>
      </c>
      <c r="O27" s="136">
        <f t="shared" si="8"/>
        <v>29.5227455030005</v>
      </c>
      <c r="P27" s="136">
        <f t="shared" si="8"/>
        <v>1.2104385928572214</v>
      </c>
      <c r="Q27" s="137">
        <f t="shared" si="8"/>
        <v>3.7965309195874888E-2</v>
      </c>
      <c r="R27" s="137">
        <f t="shared" si="8"/>
        <v>3.0044329181047533E-2</v>
      </c>
    </row>
    <row r="28" spans="1:18" ht="14.1" customHeight="1" x14ac:dyDescent="0.3">
      <c r="A28" s="100"/>
      <c r="B28" s="138" t="s">
        <v>379</v>
      </c>
      <c r="C28" s="139"/>
      <c r="D28" s="139"/>
      <c r="E28" s="139"/>
      <c r="F28" s="139"/>
      <c r="G28" s="139"/>
      <c r="H28" s="139"/>
      <c r="I28" s="139"/>
      <c r="J28" s="139"/>
      <c r="K28" s="139"/>
      <c r="L28" s="139">
        <f t="shared" ref="L28:R28" si="9">IFERROR(MEDIAN(L17:L23),"NM")</f>
        <v>0.97754674121964003</v>
      </c>
      <c r="M28" s="139">
        <f t="shared" si="9"/>
        <v>13.044513720116496</v>
      </c>
      <c r="N28" s="139">
        <f t="shared" si="9"/>
        <v>18.970837572058326</v>
      </c>
      <c r="O28" s="139">
        <f t="shared" si="9"/>
        <v>33.41904088999172</v>
      </c>
      <c r="P28" s="139">
        <f t="shared" si="9"/>
        <v>1.6068232662192394</v>
      </c>
      <c r="Q28" s="140">
        <f t="shared" si="9"/>
        <v>6.4695318410730257E-2</v>
      </c>
      <c r="R28" s="140">
        <f t="shared" si="9"/>
        <v>5.1528918399440855E-2</v>
      </c>
    </row>
    <row r="29" spans="1:18" ht="14.1" customHeight="1" x14ac:dyDescent="0.3">
      <c r="A29" s="100"/>
      <c r="B29" s="135" t="s">
        <v>380</v>
      </c>
      <c r="C29" s="136"/>
      <c r="D29" s="136"/>
      <c r="E29" s="136"/>
      <c r="F29" s="136"/>
      <c r="G29" s="136"/>
      <c r="H29" s="136"/>
      <c r="I29" s="136"/>
      <c r="J29" s="136"/>
      <c r="K29" s="136"/>
      <c r="L29" s="136">
        <f t="shared" ref="L29:R29" si="10">IFERROR(QUARTILE(L17:L23,3),"NM")</f>
        <v>2.050674983988936</v>
      </c>
      <c r="M29" s="136">
        <f t="shared" si="10"/>
        <v>17.837090080082653</v>
      </c>
      <c r="N29" s="136">
        <f t="shared" si="10"/>
        <v>71.213200016607161</v>
      </c>
      <c r="O29" s="136">
        <f t="shared" si="10"/>
        <v>37.315336276982933</v>
      </c>
      <c r="P29" s="136">
        <f t="shared" si="10"/>
        <v>3.6180046911513375</v>
      </c>
      <c r="Q29" s="137">
        <f t="shared" si="10"/>
        <v>0.1053212771252786</v>
      </c>
      <c r="R29" s="137">
        <f t="shared" si="10"/>
        <v>5.3479952278932194E-2</v>
      </c>
    </row>
    <row r="30" spans="1:18" ht="14.1" customHeight="1" x14ac:dyDescent="0.3">
      <c r="A30" s="100"/>
      <c r="B30" s="132" t="s">
        <v>381</v>
      </c>
      <c r="C30" s="133"/>
      <c r="D30" s="133"/>
      <c r="E30" s="133"/>
      <c r="F30" s="133"/>
      <c r="G30" s="133"/>
      <c r="H30" s="133"/>
      <c r="I30" s="133"/>
      <c r="J30" s="133"/>
      <c r="K30" s="133"/>
      <c r="L30" s="133">
        <f t="shared" ref="L30:R30" si="11">IFERROR(MAX(L17:L23),"NM")</f>
        <v>3.9231684514703384</v>
      </c>
      <c r="M30" s="133">
        <f t="shared" si="11"/>
        <v>25.989794583278819</v>
      </c>
      <c r="N30" s="133">
        <f t="shared" si="11"/>
        <v>123.45556246115599</v>
      </c>
      <c r="O30" s="133">
        <f t="shared" si="11"/>
        <v>41.211631663974153</v>
      </c>
      <c r="P30" s="133">
        <f t="shared" si="11"/>
        <v>4.5245901639344259</v>
      </c>
      <c r="Q30" s="134">
        <f t="shared" si="11"/>
        <v>0.15509348243928009</v>
      </c>
      <c r="R30" s="134">
        <f t="shared" si="11"/>
        <v>5.5430986158423526E-2</v>
      </c>
    </row>
    <row r="31" spans="1:18" ht="6" customHeight="1" x14ac:dyDescent="0.3">
      <c r="A31" s="100"/>
      <c r="B31" s="100"/>
      <c r="C31" s="100"/>
      <c r="D31" s="100"/>
      <c r="E31" s="100"/>
      <c r="F31" s="100"/>
      <c r="G31" s="100"/>
      <c r="H31" s="100"/>
      <c r="I31" s="100"/>
      <c r="J31" s="100"/>
      <c r="K31" s="100"/>
      <c r="L31" s="100"/>
      <c r="M31" s="100"/>
      <c r="N31" s="100"/>
      <c r="O31" s="100"/>
      <c r="P31" s="100"/>
    </row>
    <row r="32" spans="1:18" ht="16.95" customHeight="1" x14ac:dyDescent="0.3">
      <c r="A32" s="350" t="s">
        <v>382</v>
      </c>
      <c r="B32" s="351"/>
      <c r="C32" s="351"/>
      <c r="D32" s="351"/>
      <c r="E32" s="351"/>
      <c r="F32" s="351"/>
      <c r="G32" s="351"/>
      <c r="H32" s="351"/>
      <c r="I32" s="351"/>
      <c r="J32" s="351"/>
      <c r="K32" s="351"/>
      <c r="L32" s="351"/>
      <c r="M32" s="351"/>
      <c r="N32" s="351"/>
      <c r="O32" s="351"/>
      <c r="P32" s="351"/>
    </row>
    <row r="33" spans="1:18" ht="19.95" customHeight="1" x14ac:dyDescent="0.3">
      <c r="A33" s="100"/>
      <c r="B33" s="110" t="s">
        <v>346</v>
      </c>
      <c r="C33" s="111" t="s">
        <v>347</v>
      </c>
      <c r="D33" s="111" t="s">
        <v>348</v>
      </c>
      <c r="E33" s="111" t="s">
        <v>349</v>
      </c>
      <c r="F33" s="111" t="s">
        <v>350</v>
      </c>
      <c r="G33" s="111" t="s">
        <v>351</v>
      </c>
      <c r="H33" s="111" t="s">
        <v>194</v>
      </c>
      <c r="I33" s="111" t="s">
        <v>352</v>
      </c>
      <c r="J33" s="111" t="s">
        <v>268</v>
      </c>
      <c r="K33" s="111" t="s">
        <v>353</v>
      </c>
      <c r="L33" s="111" t="s">
        <v>354</v>
      </c>
      <c r="M33" s="111" t="s">
        <v>355</v>
      </c>
      <c r="N33" s="111" t="s">
        <v>356</v>
      </c>
      <c r="O33" s="111" t="s">
        <v>357</v>
      </c>
      <c r="P33" s="111" t="s">
        <v>358</v>
      </c>
      <c r="Q33" s="111" t="s">
        <v>359</v>
      </c>
      <c r="R33" s="111" t="s">
        <v>360</v>
      </c>
    </row>
    <row r="34" spans="1:18" ht="16.05" customHeight="1" x14ac:dyDescent="0.3">
      <c r="A34" s="100"/>
      <c r="B34" s="141" t="s">
        <v>383</v>
      </c>
      <c r="C34" s="142" t="s">
        <v>384</v>
      </c>
      <c r="D34" s="143">
        <f>Assumptions!$G$56</f>
        <v>376.37</v>
      </c>
      <c r="E34" s="144">
        <f>D34*D35</f>
        <v>1486661.5</v>
      </c>
      <c r="F34" s="144">
        <f>E34+D37+D38-D36</f>
        <v>1453140.5</v>
      </c>
      <c r="G34" s="145">
        <v>103619</v>
      </c>
      <c r="H34" s="145">
        <v>10760</v>
      </c>
      <c r="I34" s="145">
        <v>4372</v>
      </c>
      <c r="J34" s="145">
        <v>3806</v>
      </c>
      <c r="K34" s="145">
        <v>86858</v>
      </c>
      <c r="L34" s="146">
        <f>F34/G34</f>
        <v>14.023880755459906</v>
      </c>
      <c r="M34" s="146">
        <f>F34/H34</f>
        <v>135.05023234200743</v>
      </c>
      <c r="N34" s="146">
        <f>F34/I34</f>
        <v>332.37431381518758</v>
      </c>
      <c r="O34" s="146">
        <f>E34/J34</f>
        <v>390.60995796111405</v>
      </c>
      <c r="P34" s="146">
        <f>E34/K34</f>
        <v>17.115999677634761</v>
      </c>
      <c r="Q34" s="147">
        <f>IF(H34&lt;=0,"NM",H34/G34)</f>
        <v>0.10384195948619461</v>
      </c>
      <c r="R34" s="147">
        <f>IF(I34&lt;=0,"NM",I34/G34)</f>
        <v>4.219303409606346E-2</v>
      </c>
    </row>
    <row r="35" spans="1:18" ht="13.05" customHeight="1" x14ac:dyDescent="0.3">
      <c r="A35" s="100"/>
      <c r="B35" s="148" t="s">
        <v>385</v>
      </c>
      <c r="C35" s="100"/>
      <c r="D35" s="149">
        <v>3950</v>
      </c>
      <c r="E35" s="100"/>
      <c r="F35" s="100"/>
      <c r="G35" s="100"/>
      <c r="H35" s="100"/>
      <c r="I35" s="100"/>
      <c r="J35" s="100"/>
      <c r="K35" s="100"/>
      <c r="L35" s="100"/>
      <c r="M35" s="100"/>
      <c r="N35" s="100"/>
      <c r="O35" s="100"/>
      <c r="P35" s="100"/>
    </row>
    <row r="36" spans="1:18" ht="13.05" customHeight="1" x14ac:dyDescent="0.3">
      <c r="A36" s="100"/>
      <c r="B36" s="148" t="s">
        <v>386</v>
      </c>
      <c r="C36" s="100"/>
      <c r="D36" s="149">
        <v>43524</v>
      </c>
      <c r="E36" s="100"/>
      <c r="F36" s="100"/>
      <c r="G36" s="100"/>
      <c r="H36" s="100"/>
      <c r="I36" s="100"/>
      <c r="J36" s="100"/>
      <c r="K36" s="100"/>
      <c r="L36" s="100"/>
      <c r="M36" s="100"/>
      <c r="N36" s="100"/>
      <c r="O36" s="100"/>
      <c r="P36" s="100"/>
    </row>
    <row r="37" spans="1:18" ht="13.05" customHeight="1" x14ac:dyDescent="0.3">
      <c r="A37" s="100"/>
      <c r="B37" s="148" t="s">
        <v>387</v>
      </c>
      <c r="C37" s="100"/>
      <c r="D37" s="149">
        <v>9342</v>
      </c>
      <c r="E37" s="100"/>
      <c r="F37" s="100"/>
      <c r="G37" s="100"/>
      <c r="H37" s="100"/>
      <c r="I37" s="100"/>
      <c r="J37" s="100"/>
      <c r="K37" s="100"/>
      <c r="L37" s="100"/>
      <c r="M37" s="100"/>
      <c r="N37" s="100"/>
      <c r="O37" s="100"/>
      <c r="P37" s="100"/>
    </row>
    <row r="38" spans="1:18" ht="13.05" customHeight="1" x14ac:dyDescent="0.3">
      <c r="A38" s="100"/>
      <c r="B38" s="148" t="s">
        <v>388</v>
      </c>
      <c r="C38" s="100"/>
      <c r="D38" s="149">
        <v>661</v>
      </c>
      <c r="E38" s="100"/>
      <c r="F38" s="100"/>
      <c r="G38" s="100"/>
      <c r="H38" s="100"/>
      <c r="I38" s="100"/>
      <c r="J38" s="100"/>
      <c r="K38" s="100"/>
      <c r="L38" s="100"/>
      <c r="M38" s="100"/>
      <c r="N38" s="100"/>
      <c r="O38" s="100"/>
      <c r="P38" s="100"/>
    </row>
    <row r="39" spans="1:18" ht="6" customHeight="1" x14ac:dyDescent="0.3">
      <c r="A39" s="100"/>
      <c r="B39" s="100"/>
      <c r="C39" s="100"/>
      <c r="D39" s="100"/>
      <c r="E39" s="100"/>
      <c r="F39" s="100"/>
      <c r="G39" s="100"/>
      <c r="H39" s="100"/>
      <c r="I39" s="100"/>
      <c r="J39" s="100"/>
      <c r="K39" s="100"/>
      <c r="L39" s="100"/>
      <c r="M39" s="100"/>
      <c r="N39" s="100"/>
      <c r="O39" s="100"/>
      <c r="P39" s="100"/>
    </row>
    <row r="40" spans="1:18" ht="16.95" customHeight="1" x14ac:dyDescent="0.3">
      <c r="A40" s="350" t="s">
        <v>389</v>
      </c>
      <c r="B40" s="351"/>
      <c r="C40" s="351"/>
      <c r="D40" s="351"/>
      <c r="E40" s="351"/>
      <c r="F40" s="351"/>
      <c r="G40" s="351"/>
      <c r="H40" s="351"/>
      <c r="I40" s="351"/>
      <c r="J40" s="351"/>
      <c r="K40" s="351"/>
      <c r="L40" s="351"/>
      <c r="M40" s="351"/>
      <c r="N40" s="351"/>
      <c r="O40" s="351"/>
      <c r="P40" s="351"/>
    </row>
    <row r="41" spans="1:18" ht="19.95" customHeight="1" x14ac:dyDescent="0.3">
      <c r="A41" s="100"/>
      <c r="B41" s="110" t="s">
        <v>44</v>
      </c>
      <c r="C41" s="100"/>
      <c r="D41" s="100"/>
      <c r="E41" s="111" t="s">
        <v>390</v>
      </c>
      <c r="F41" s="100"/>
      <c r="G41" s="111" t="s">
        <v>391</v>
      </c>
      <c r="H41" s="100"/>
      <c r="I41" s="100"/>
      <c r="J41" s="111" t="s">
        <v>392</v>
      </c>
      <c r="K41" s="100"/>
      <c r="L41" s="100"/>
      <c r="M41" s="111" t="s">
        <v>393</v>
      </c>
      <c r="N41" s="100"/>
      <c r="O41" s="100"/>
      <c r="P41" s="100"/>
    </row>
    <row r="42" spans="1:18" ht="16.95" customHeight="1" x14ac:dyDescent="0.3">
      <c r="A42" s="24"/>
      <c r="B42" s="150" t="s">
        <v>394</v>
      </c>
      <c r="C42" s="151"/>
      <c r="D42" s="151"/>
      <c r="E42" s="151"/>
      <c r="F42" s="151"/>
      <c r="G42" s="151"/>
      <c r="H42" s="151"/>
      <c r="I42" s="151"/>
      <c r="J42" s="151"/>
      <c r="K42" s="151"/>
      <c r="L42" s="151"/>
      <c r="M42" s="151"/>
      <c r="N42" s="25"/>
      <c r="O42" s="25"/>
      <c r="P42" s="25"/>
    </row>
    <row r="43" spans="1:18" ht="13.5" customHeight="1" x14ac:dyDescent="0.3">
      <c r="A43" s="100"/>
      <c r="B43" s="135" t="s">
        <v>395</v>
      </c>
      <c r="C43" s="100"/>
      <c r="D43" s="100"/>
      <c r="E43" s="122">
        <f>L27</f>
        <v>0.71255794273640638</v>
      </c>
      <c r="F43" s="100"/>
      <c r="G43" s="152">
        <f>G34</f>
        <v>103619</v>
      </c>
      <c r="H43" s="153"/>
      <c r="I43" s="100"/>
      <c r="J43" s="152">
        <f>E43*G43</f>
        <v>73834.541468403695</v>
      </c>
      <c r="K43" s="100"/>
      <c r="L43" s="100"/>
      <c r="M43" s="154" t="s">
        <v>393</v>
      </c>
      <c r="N43" s="349" t="s">
        <v>396</v>
      </c>
      <c r="O43" s="297"/>
      <c r="P43" s="297"/>
    </row>
    <row r="44" spans="1:18" ht="13.5" customHeight="1" x14ac:dyDescent="0.3">
      <c r="A44" s="100"/>
      <c r="B44" s="132" t="s">
        <v>397</v>
      </c>
      <c r="C44" s="100"/>
      <c r="D44" s="100"/>
      <c r="E44" s="100"/>
      <c r="F44" s="100"/>
      <c r="G44" s="100"/>
      <c r="H44" s="100"/>
      <c r="I44" s="100"/>
      <c r="J44" s="152">
        <f>D36</f>
        <v>43524</v>
      </c>
      <c r="K44" s="100"/>
      <c r="L44" s="100"/>
      <c r="M44" s="100"/>
      <c r="N44" s="100"/>
      <c r="O44" s="100"/>
      <c r="P44" s="100"/>
    </row>
    <row r="45" spans="1:18" ht="13.5" customHeight="1" x14ac:dyDescent="0.3">
      <c r="A45" s="100"/>
      <c r="B45" s="132" t="s">
        <v>398</v>
      </c>
      <c r="C45" s="100"/>
      <c r="D45" s="100"/>
      <c r="E45" s="100"/>
      <c r="F45" s="100"/>
      <c r="G45" s="100"/>
      <c r="H45" s="100"/>
      <c r="I45" s="100"/>
      <c r="J45" s="152">
        <f>D37</f>
        <v>9342</v>
      </c>
      <c r="K45" s="100"/>
      <c r="L45" s="100"/>
      <c r="M45" s="100"/>
      <c r="N45" s="100"/>
      <c r="O45" s="100"/>
      <c r="P45" s="100"/>
    </row>
    <row r="46" spans="1:18" ht="13.5" customHeight="1" x14ac:dyDescent="0.3">
      <c r="A46" s="100"/>
      <c r="B46" s="132" t="s">
        <v>399</v>
      </c>
      <c r="C46" s="100"/>
      <c r="D46" s="100"/>
      <c r="E46" s="100"/>
      <c r="F46" s="100"/>
      <c r="G46" s="100"/>
      <c r="H46" s="100"/>
      <c r="I46" s="100"/>
      <c r="J46" s="152">
        <f>D38</f>
        <v>661</v>
      </c>
      <c r="K46" s="100"/>
      <c r="L46" s="100"/>
      <c r="M46" s="100"/>
      <c r="N46" s="100"/>
      <c r="O46" s="100"/>
      <c r="P46" s="100"/>
    </row>
    <row r="47" spans="1:18" ht="13.5" customHeight="1" x14ac:dyDescent="0.3">
      <c r="A47" s="100"/>
      <c r="B47" s="132" t="s">
        <v>400</v>
      </c>
      <c r="C47" s="100"/>
      <c r="D47" s="100"/>
      <c r="E47" s="100"/>
      <c r="F47" s="100"/>
      <c r="G47" s="100"/>
      <c r="H47" s="100"/>
      <c r="I47" s="100"/>
      <c r="J47" s="152">
        <f>J43+J44-J45-J46</f>
        <v>107355.5414684037</v>
      </c>
      <c r="K47" s="100"/>
      <c r="L47" s="100"/>
      <c r="M47" s="155">
        <f>J47/J48</f>
        <v>27.17861809326676</v>
      </c>
      <c r="N47" s="100"/>
      <c r="O47" s="100"/>
      <c r="P47" s="100"/>
    </row>
    <row r="48" spans="1:18" ht="13.5" customHeight="1" x14ac:dyDescent="0.3">
      <c r="A48" s="100"/>
      <c r="B48" s="132" t="s">
        <v>401</v>
      </c>
      <c r="C48" s="100"/>
      <c r="D48" s="100"/>
      <c r="E48" s="100"/>
      <c r="F48" s="100"/>
      <c r="G48" s="100"/>
      <c r="H48" s="100"/>
      <c r="I48" s="100"/>
      <c r="J48" s="152">
        <f>D35</f>
        <v>3950</v>
      </c>
      <c r="K48" s="100"/>
      <c r="L48" s="100"/>
      <c r="M48" s="100"/>
      <c r="N48" s="100"/>
      <c r="O48" s="100"/>
      <c r="P48" s="100"/>
    </row>
    <row r="49" spans="1:16" ht="5.55" customHeight="1" x14ac:dyDescent="0.3">
      <c r="A49" s="100"/>
      <c r="B49" s="100"/>
      <c r="C49" s="100"/>
      <c r="D49" s="100"/>
      <c r="E49" s="100"/>
      <c r="F49" s="100"/>
      <c r="G49" s="100"/>
      <c r="H49" s="100"/>
      <c r="I49" s="100"/>
      <c r="J49" s="100"/>
      <c r="K49" s="100"/>
      <c r="L49" s="100"/>
      <c r="M49" s="100"/>
      <c r="N49" s="100"/>
      <c r="O49" s="100"/>
      <c r="P49" s="100"/>
    </row>
    <row r="50" spans="1:16" ht="13.5" customHeight="1" x14ac:dyDescent="0.3">
      <c r="A50" s="100"/>
      <c r="B50" s="135" t="s">
        <v>402</v>
      </c>
      <c r="C50" s="100"/>
      <c r="D50" s="100"/>
      <c r="E50" s="122">
        <f>L28</f>
        <v>0.97754674121964003</v>
      </c>
      <c r="F50" s="100"/>
      <c r="G50" s="152">
        <f>G34</f>
        <v>103619</v>
      </c>
      <c r="H50" s="153"/>
      <c r="I50" s="100"/>
      <c r="J50" s="152">
        <f>E50*G50</f>
        <v>101292.41577843788</v>
      </c>
      <c r="K50" s="100"/>
      <c r="L50" s="100"/>
      <c r="M50" s="154" t="s">
        <v>393</v>
      </c>
      <c r="N50" s="349" t="s">
        <v>396</v>
      </c>
      <c r="O50" s="297"/>
      <c r="P50" s="297"/>
    </row>
    <row r="51" spans="1:16" ht="13.5" customHeight="1" x14ac:dyDescent="0.3">
      <c r="A51" s="100"/>
      <c r="B51" s="132" t="s">
        <v>397</v>
      </c>
      <c r="C51" s="100"/>
      <c r="D51" s="100"/>
      <c r="E51" s="100"/>
      <c r="F51" s="100"/>
      <c r="G51" s="100"/>
      <c r="H51" s="100"/>
      <c r="I51" s="100"/>
      <c r="J51" s="152">
        <f>D36</f>
        <v>43524</v>
      </c>
      <c r="K51" s="100"/>
      <c r="L51" s="100"/>
      <c r="M51" s="100"/>
      <c r="N51" s="100"/>
      <c r="O51" s="100"/>
      <c r="P51" s="100"/>
    </row>
    <row r="52" spans="1:16" ht="13.5" customHeight="1" x14ac:dyDescent="0.3">
      <c r="A52" s="100"/>
      <c r="B52" s="132" t="s">
        <v>398</v>
      </c>
      <c r="C52" s="100"/>
      <c r="D52" s="100"/>
      <c r="E52" s="100"/>
      <c r="F52" s="100"/>
      <c r="G52" s="100"/>
      <c r="H52" s="100"/>
      <c r="I52" s="100"/>
      <c r="J52" s="152">
        <f>D37</f>
        <v>9342</v>
      </c>
      <c r="K52" s="100"/>
      <c r="L52" s="100"/>
      <c r="M52" s="100"/>
      <c r="N52" s="100"/>
      <c r="O52" s="100"/>
      <c r="P52" s="100"/>
    </row>
    <row r="53" spans="1:16" ht="13.5" customHeight="1" x14ac:dyDescent="0.3">
      <c r="A53" s="100"/>
      <c r="B53" s="132" t="s">
        <v>399</v>
      </c>
      <c r="C53" s="100"/>
      <c r="D53" s="100"/>
      <c r="E53" s="100"/>
      <c r="F53" s="100"/>
      <c r="G53" s="100"/>
      <c r="H53" s="100"/>
      <c r="I53" s="100"/>
      <c r="J53" s="152">
        <f>D38</f>
        <v>661</v>
      </c>
      <c r="K53" s="100"/>
      <c r="L53" s="100"/>
      <c r="M53" s="100"/>
      <c r="N53" s="100"/>
      <c r="O53" s="100"/>
      <c r="P53" s="100"/>
    </row>
    <row r="54" spans="1:16" ht="13.5" customHeight="1" x14ac:dyDescent="0.3">
      <c r="A54" s="100"/>
      <c r="B54" s="132" t="s">
        <v>400</v>
      </c>
      <c r="C54" s="100"/>
      <c r="D54" s="100"/>
      <c r="E54" s="100"/>
      <c r="F54" s="100"/>
      <c r="G54" s="100"/>
      <c r="H54" s="100"/>
      <c r="I54" s="100"/>
      <c r="J54" s="152">
        <f>J50+J51-J52-J53</f>
        <v>134813.41577843786</v>
      </c>
      <c r="K54" s="100"/>
      <c r="L54" s="100"/>
      <c r="M54" s="155">
        <f>J54/J55</f>
        <v>34.129978678085536</v>
      </c>
      <c r="N54" s="100"/>
      <c r="O54" s="100"/>
      <c r="P54" s="100"/>
    </row>
    <row r="55" spans="1:16" ht="13.5" customHeight="1" x14ac:dyDescent="0.3">
      <c r="A55" s="100"/>
      <c r="B55" s="132" t="s">
        <v>401</v>
      </c>
      <c r="C55" s="100"/>
      <c r="D55" s="100"/>
      <c r="E55" s="100"/>
      <c r="F55" s="100"/>
      <c r="G55" s="100"/>
      <c r="H55" s="100"/>
      <c r="I55" s="100"/>
      <c r="J55" s="152">
        <f>D35</f>
        <v>3950</v>
      </c>
      <c r="K55" s="100"/>
      <c r="L55" s="100"/>
      <c r="M55" s="100"/>
      <c r="N55" s="100"/>
      <c r="O55" s="100"/>
      <c r="P55" s="100"/>
    </row>
    <row r="56" spans="1:16" ht="5.55" customHeight="1" x14ac:dyDescent="0.3">
      <c r="A56" s="100"/>
      <c r="B56" s="100"/>
      <c r="C56" s="100"/>
      <c r="D56" s="100"/>
      <c r="E56" s="100"/>
      <c r="F56" s="100"/>
      <c r="G56" s="100"/>
      <c r="H56" s="100"/>
      <c r="I56" s="100"/>
      <c r="J56" s="100"/>
      <c r="K56" s="100"/>
      <c r="L56" s="100"/>
      <c r="M56" s="100"/>
      <c r="N56" s="100"/>
      <c r="O56" s="100"/>
      <c r="P56" s="100"/>
    </row>
    <row r="57" spans="1:16" ht="13.5" customHeight="1" x14ac:dyDescent="0.3">
      <c r="A57" s="100"/>
      <c r="B57" s="135" t="s">
        <v>403</v>
      </c>
      <c r="C57" s="100"/>
      <c r="D57" s="100"/>
      <c r="E57" s="122">
        <f>L29</f>
        <v>2.050674983988936</v>
      </c>
      <c r="F57" s="100"/>
      <c r="G57" s="152">
        <f>G34</f>
        <v>103619</v>
      </c>
      <c r="H57" s="153"/>
      <c r="I57" s="100"/>
      <c r="J57" s="152">
        <f>E57*G57</f>
        <v>212488.89116594955</v>
      </c>
      <c r="K57" s="100"/>
      <c r="L57" s="100"/>
      <c r="M57" s="154" t="s">
        <v>393</v>
      </c>
      <c r="N57" s="349" t="s">
        <v>396</v>
      </c>
      <c r="O57" s="297"/>
      <c r="P57" s="297"/>
    </row>
    <row r="58" spans="1:16" ht="13.5" customHeight="1" x14ac:dyDescent="0.3">
      <c r="A58" s="100"/>
      <c r="B58" s="132" t="s">
        <v>397</v>
      </c>
      <c r="C58" s="100"/>
      <c r="D58" s="100"/>
      <c r="E58" s="100"/>
      <c r="F58" s="100"/>
      <c r="G58" s="100"/>
      <c r="H58" s="100"/>
      <c r="I58" s="100"/>
      <c r="J58" s="152">
        <f>D36</f>
        <v>43524</v>
      </c>
      <c r="K58" s="100"/>
      <c r="L58" s="100"/>
      <c r="M58" s="100"/>
      <c r="N58" s="100"/>
      <c r="O58" s="100"/>
      <c r="P58" s="100"/>
    </row>
    <row r="59" spans="1:16" ht="13.5" customHeight="1" x14ac:dyDescent="0.3">
      <c r="A59" s="100"/>
      <c r="B59" s="132" t="s">
        <v>398</v>
      </c>
      <c r="C59" s="100"/>
      <c r="D59" s="100"/>
      <c r="E59" s="100"/>
      <c r="F59" s="100"/>
      <c r="G59" s="100"/>
      <c r="H59" s="100"/>
      <c r="I59" s="100"/>
      <c r="J59" s="152">
        <f>D37</f>
        <v>9342</v>
      </c>
      <c r="K59" s="100"/>
      <c r="L59" s="100"/>
      <c r="M59" s="100"/>
      <c r="N59" s="100"/>
      <c r="O59" s="100"/>
      <c r="P59" s="100"/>
    </row>
    <row r="60" spans="1:16" ht="13.5" customHeight="1" x14ac:dyDescent="0.3">
      <c r="A60" s="100"/>
      <c r="B60" s="132" t="s">
        <v>399</v>
      </c>
      <c r="C60" s="100"/>
      <c r="D60" s="100"/>
      <c r="E60" s="100"/>
      <c r="F60" s="100"/>
      <c r="G60" s="100"/>
      <c r="H60" s="100"/>
      <c r="I60" s="100"/>
      <c r="J60" s="152">
        <f>D38</f>
        <v>661</v>
      </c>
      <c r="K60" s="100"/>
      <c r="L60" s="100"/>
      <c r="M60" s="100"/>
      <c r="N60" s="100"/>
      <c r="O60" s="100"/>
      <c r="P60" s="100"/>
    </row>
    <row r="61" spans="1:16" ht="13.5" customHeight="1" x14ac:dyDescent="0.3">
      <c r="A61" s="100"/>
      <c r="B61" s="132" t="s">
        <v>400</v>
      </c>
      <c r="C61" s="100"/>
      <c r="D61" s="100"/>
      <c r="E61" s="100"/>
      <c r="F61" s="100"/>
      <c r="G61" s="100"/>
      <c r="H61" s="100"/>
      <c r="I61" s="100"/>
      <c r="J61" s="152">
        <f>J57+J58-J59-J60</f>
        <v>246009.89116594955</v>
      </c>
      <c r="K61" s="100"/>
      <c r="L61" s="100"/>
      <c r="M61" s="155">
        <f>J61/J62</f>
        <v>62.280985105303685</v>
      </c>
      <c r="N61" s="100"/>
      <c r="O61" s="100"/>
      <c r="P61" s="100"/>
    </row>
    <row r="62" spans="1:16" ht="13.5" customHeight="1" x14ac:dyDescent="0.3">
      <c r="A62" s="100"/>
      <c r="B62" s="132" t="s">
        <v>401</v>
      </c>
      <c r="C62" s="100"/>
      <c r="D62" s="100"/>
      <c r="E62" s="100"/>
      <c r="F62" s="100"/>
      <c r="G62" s="100"/>
      <c r="H62" s="100"/>
      <c r="I62" s="100"/>
      <c r="J62" s="152">
        <f>D35</f>
        <v>3950</v>
      </c>
      <c r="K62" s="100"/>
      <c r="L62" s="100"/>
      <c r="M62" s="100"/>
      <c r="N62" s="100"/>
      <c r="O62" s="100"/>
      <c r="P62" s="100"/>
    </row>
    <row r="63" spans="1:16" ht="5.55" customHeight="1" x14ac:dyDescent="0.3">
      <c r="A63" s="100"/>
      <c r="B63" s="100"/>
      <c r="C63" s="100"/>
      <c r="D63" s="100"/>
      <c r="E63" s="100"/>
      <c r="F63" s="100"/>
      <c r="G63" s="100"/>
      <c r="H63" s="100"/>
      <c r="I63" s="100"/>
      <c r="J63" s="100"/>
      <c r="K63" s="100"/>
      <c r="L63" s="100"/>
      <c r="M63" s="100"/>
      <c r="N63" s="100"/>
      <c r="O63" s="100"/>
      <c r="P63" s="100"/>
    </row>
    <row r="64" spans="1:16" ht="16.95" customHeight="1" x14ac:dyDescent="0.3">
      <c r="A64" s="24"/>
      <c r="B64" s="150" t="s">
        <v>404</v>
      </c>
      <c r="C64" s="151"/>
      <c r="D64" s="151"/>
      <c r="E64" s="151"/>
      <c r="F64" s="151"/>
      <c r="G64" s="151"/>
      <c r="H64" s="151"/>
      <c r="I64" s="151"/>
      <c r="J64" s="151"/>
      <c r="K64" s="151"/>
      <c r="L64" s="151"/>
      <c r="M64" s="151"/>
      <c r="N64" s="25"/>
      <c r="O64" s="25"/>
      <c r="P64" s="25"/>
    </row>
    <row r="65" spans="1:16" ht="13.5" customHeight="1" x14ac:dyDescent="0.3">
      <c r="A65" s="100"/>
      <c r="B65" s="135" t="s">
        <v>405</v>
      </c>
      <c r="C65" s="100"/>
      <c r="D65" s="100"/>
      <c r="E65" s="122">
        <f>M27</f>
        <v>9.8028670909320752</v>
      </c>
      <c r="F65" s="100"/>
      <c r="G65" s="152">
        <f>H34</f>
        <v>10760</v>
      </c>
      <c r="H65" s="153"/>
      <c r="I65" s="100"/>
      <c r="J65" s="152">
        <f>E65*G65</f>
        <v>105478.84989842914</v>
      </c>
      <c r="K65" s="100"/>
      <c r="L65" s="100"/>
      <c r="M65" s="154" t="s">
        <v>393</v>
      </c>
      <c r="N65" s="349" t="s">
        <v>406</v>
      </c>
      <c r="O65" s="297"/>
      <c r="P65" s="297"/>
    </row>
    <row r="66" spans="1:16" ht="13.5" customHeight="1" x14ac:dyDescent="0.3">
      <c r="A66" s="100"/>
      <c r="B66" s="132" t="s">
        <v>397</v>
      </c>
      <c r="C66" s="100"/>
      <c r="D66" s="100"/>
      <c r="E66" s="100"/>
      <c r="F66" s="100"/>
      <c r="G66" s="100"/>
      <c r="H66" s="100"/>
      <c r="I66" s="100"/>
      <c r="J66" s="152">
        <f>D36</f>
        <v>43524</v>
      </c>
      <c r="K66" s="100"/>
      <c r="L66" s="100"/>
      <c r="M66" s="100"/>
      <c r="N66" s="100"/>
      <c r="O66" s="100"/>
      <c r="P66" s="100"/>
    </row>
    <row r="67" spans="1:16" ht="13.5" customHeight="1" x14ac:dyDescent="0.3">
      <c r="A67" s="100"/>
      <c r="B67" s="132" t="s">
        <v>398</v>
      </c>
      <c r="C67" s="100"/>
      <c r="D67" s="100"/>
      <c r="E67" s="100"/>
      <c r="F67" s="100"/>
      <c r="G67" s="100"/>
      <c r="H67" s="100"/>
      <c r="I67" s="100"/>
      <c r="J67" s="152">
        <f>D37</f>
        <v>9342</v>
      </c>
      <c r="K67" s="100"/>
      <c r="L67" s="100"/>
      <c r="M67" s="100"/>
      <c r="N67" s="100"/>
      <c r="O67" s="100"/>
      <c r="P67" s="100"/>
    </row>
    <row r="68" spans="1:16" ht="13.5" customHeight="1" x14ac:dyDescent="0.3">
      <c r="A68" s="100"/>
      <c r="B68" s="132" t="s">
        <v>399</v>
      </c>
      <c r="C68" s="100"/>
      <c r="D68" s="100"/>
      <c r="E68" s="100"/>
      <c r="F68" s="100"/>
      <c r="G68" s="100"/>
      <c r="H68" s="100"/>
      <c r="I68" s="100"/>
      <c r="J68" s="152">
        <f>D38</f>
        <v>661</v>
      </c>
      <c r="K68" s="100"/>
      <c r="L68" s="100"/>
      <c r="M68" s="100"/>
      <c r="N68" s="100"/>
      <c r="O68" s="100"/>
      <c r="P68" s="100"/>
    </row>
    <row r="69" spans="1:16" ht="13.5" customHeight="1" x14ac:dyDescent="0.3">
      <c r="A69" s="100"/>
      <c r="B69" s="132" t="s">
        <v>400</v>
      </c>
      <c r="C69" s="100"/>
      <c r="D69" s="100"/>
      <c r="E69" s="100"/>
      <c r="F69" s="100"/>
      <c r="G69" s="100"/>
      <c r="H69" s="100"/>
      <c r="I69" s="100"/>
      <c r="J69" s="152">
        <f>J65+J66-J67-J68</f>
        <v>138999.84989842912</v>
      </c>
      <c r="K69" s="100"/>
      <c r="L69" s="100"/>
      <c r="M69" s="155">
        <f>J69/J70</f>
        <v>35.189835417323827</v>
      </c>
      <c r="N69" s="100"/>
      <c r="O69" s="100"/>
      <c r="P69" s="100"/>
    </row>
    <row r="70" spans="1:16" ht="13.5" customHeight="1" x14ac:dyDescent="0.3">
      <c r="A70" s="100"/>
      <c r="B70" s="132" t="s">
        <v>401</v>
      </c>
      <c r="C70" s="100"/>
      <c r="D70" s="100"/>
      <c r="E70" s="100"/>
      <c r="F70" s="100"/>
      <c r="G70" s="100"/>
      <c r="H70" s="100"/>
      <c r="I70" s="100"/>
      <c r="J70" s="152">
        <f>D35</f>
        <v>3950</v>
      </c>
      <c r="K70" s="100"/>
      <c r="L70" s="100"/>
      <c r="M70" s="100"/>
      <c r="N70" s="100"/>
      <c r="O70" s="100"/>
      <c r="P70" s="100"/>
    </row>
    <row r="71" spans="1:16" ht="5.55" customHeight="1" x14ac:dyDescent="0.3">
      <c r="A71" s="100"/>
      <c r="B71" s="100"/>
      <c r="C71" s="100"/>
      <c r="D71" s="100"/>
      <c r="E71" s="100"/>
      <c r="F71" s="100"/>
      <c r="G71" s="100"/>
      <c r="H71" s="100"/>
      <c r="I71" s="100"/>
      <c r="J71" s="100"/>
      <c r="K71" s="100"/>
      <c r="L71" s="100"/>
      <c r="M71" s="100"/>
      <c r="N71" s="100"/>
      <c r="O71" s="100"/>
      <c r="P71" s="100"/>
    </row>
    <row r="72" spans="1:16" ht="13.5" customHeight="1" x14ac:dyDescent="0.3">
      <c r="A72" s="100"/>
      <c r="B72" s="135" t="s">
        <v>407</v>
      </c>
      <c r="C72" s="100"/>
      <c r="D72" s="100"/>
      <c r="E72" s="122">
        <f>M28</f>
        <v>13.044513720116496</v>
      </c>
      <c r="F72" s="100"/>
      <c r="G72" s="152">
        <f>H34</f>
        <v>10760</v>
      </c>
      <c r="H72" s="153"/>
      <c r="I72" s="100"/>
      <c r="J72" s="152">
        <f>E72*G72</f>
        <v>140358.96762845351</v>
      </c>
      <c r="K72" s="100"/>
      <c r="L72" s="100"/>
      <c r="M72" s="154" t="s">
        <v>393</v>
      </c>
      <c r="N72" s="349" t="s">
        <v>406</v>
      </c>
      <c r="O72" s="297"/>
      <c r="P72" s="297"/>
    </row>
    <row r="73" spans="1:16" ht="13.5" customHeight="1" x14ac:dyDescent="0.3">
      <c r="A73" s="100"/>
      <c r="B73" s="132" t="s">
        <v>397</v>
      </c>
      <c r="C73" s="100"/>
      <c r="D73" s="100"/>
      <c r="E73" s="100"/>
      <c r="F73" s="100"/>
      <c r="G73" s="100"/>
      <c r="H73" s="100"/>
      <c r="I73" s="100"/>
      <c r="J73" s="152">
        <f>D36</f>
        <v>43524</v>
      </c>
      <c r="K73" s="100"/>
      <c r="L73" s="100"/>
      <c r="M73" s="100"/>
      <c r="N73" s="100"/>
      <c r="O73" s="100"/>
      <c r="P73" s="100"/>
    </row>
    <row r="74" spans="1:16" ht="13.5" customHeight="1" x14ac:dyDescent="0.3">
      <c r="A74" s="100"/>
      <c r="B74" s="132" t="s">
        <v>398</v>
      </c>
      <c r="C74" s="100"/>
      <c r="D74" s="100"/>
      <c r="E74" s="100"/>
      <c r="F74" s="100"/>
      <c r="G74" s="100"/>
      <c r="H74" s="100"/>
      <c r="I74" s="100"/>
      <c r="J74" s="152">
        <f>D37</f>
        <v>9342</v>
      </c>
      <c r="K74" s="100"/>
      <c r="L74" s="100"/>
      <c r="M74" s="100"/>
      <c r="N74" s="100"/>
      <c r="O74" s="100"/>
      <c r="P74" s="100"/>
    </row>
    <row r="75" spans="1:16" ht="13.5" customHeight="1" x14ac:dyDescent="0.3">
      <c r="A75" s="100"/>
      <c r="B75" s="132" t="s">
        <v>399</v>
      </c>
      <c r="C75" s="100"/>
      <c r="D75" s="100"/>
      <c r="E75" s="100"/>
      <c r="F75" s="100"/>
      <c r="G75" s="100"/>
      <c r="H75" s="100"/>
      <c r="I75" s="100"/>
      <c r="J75" s="152">
        <f>D38</f>
        <v>661</v>
      </c>
      <c r="K75" s="100"/>
      <c r="L75" s="100"/>
      <c r="M75" s="100"/>
      <c r="N75" s="100"/>
      <c r="O75" s="100"/>
      <c r="P75" s="100"/>
    </row>
    <row r="76" spans="1:16" ht="13.5" customHeight="1" x14ac:dyDescent="0.3">
      <c r="A76" s="100"/>
      <c r="B76" s="132" t="s">
        <v>400</v>
      </c>
      <c r="C76" s="100"/>
      <c r="D76" s="100"/>
      <c r="E76" s="100"/>
      <c r="F76" s="100"/>
      <c r="G76" s="100"/>
      <c r="H76" s="100"/>
      <c r="I76" s="100"/>
      <c r="J76" s="152">
        <f>J72+J73-J74-J75</f>
        <v>173879.96762845351</v>
      </c>
      <c r="K76" s="100"/>
      <c r="L76" s="100"/>
      <c r="M76" s="155">
        <f>J76/J77</f>
        <v>44.020244969228735</v>
      </c>
      <c r="N76" s="100"/>
      <c r="O76" s="100"/>
      <c r="P76" s="100"/>
    </row>
    <row r="77" spans="1:16" ht="13.5" customHeight="1" x14ac:dyDescent="0.3">
      <c r="A77" s="100"/>
      <c r="B77" s="132" t="s">
        <v>401</v>
      </c>
      <c r="C77" s="100"/>
      <c r="D77" s="100"/>
      <c r="E77" s="100"/>
      <c r="F77" s="100"/>
      <c r="G77" s="100"/>
      <c r="H77" s="100"/>
      <c r="I77" s="100"/>
      <c r="J77" s="152">
        <f>D35</f>
        <v>3950</v>
      </c>
      <c r="K77" s="100"/>
      <c r="L77" s="100"/>
      <c r="M77" s="100"/>
      <c r="N77" s="100"/>
      <c r="O77" s="100"/>
      <c r="P77" s="100"/>
    </row>
    <row r="78" spans="1:16" ht="5.55" customHeight="1" x14ac:dyDescent="0.3">
      <c r="A78" s="100"/>
      <c r="B78" s="100"/>
      <c r="C78" s="100"/>
      <c r="D78" s="100"/>
      <c r="E78" s="100"/>
      <c r="F78" s="100"/>
      <c r="G78" s="100"/>
      <c r="H78" s="100"/>
      <c r="I78" s="100"/>
      <c r="J78" s="100"/>
      <c r="K78" s="100"/>
      <c r="L78" s="100"/>
      <c r="M78" s="100"/>
      <c r="N78" s="100"/>
      <c r="O78" s="100"/>
      <c r="P78" s="100"/>
    </row>
    <row r="79" spans="1:16" ht="13.5" customHeight="1" x14ac:dyDescent="0.3">
      <c r="A79" s="100"/>
      <c r="B79" s="135" t="s">
        <v>408</v>
      </c>
      <c r="C79" s="100"/>
      <c r="D79" s="100"/>
      <c r="E79" s="122">
        <f>M29</f>
        <v>17.837090080082653</v>
      </c>
      <c r="F79" s="100"/>
      <c r="G79" s="152">
        <f>H34</f>
        <v>10760</v>
      </c>
      <c r="H79" s="153"/>
      <c r="I79" s="100"/>
      <c r="J79" s="152">
        <f>E79*G79</f>
        <v>191927.08926168934</v>
      </c>
      <c r="K79" s="100"/>
      <c r="L79" s="100"/>
      <c r="M79" s="154" t="s">
        <v>393</v>
      </c>
      <c r="N79" s="349" t="s">
        <v>406</v>
      </c>
      <c r="O79" s="297"/>
      <c r="P79" s="297"/>
    </row>
    <row r="80" spans="1:16" ht="13.5" customHeight="1" x14ac:dyDescent="0.3">
      <c r="A80" s="100"/>
      <c r="B80" s="132" t="s">
        <v>397</v>
      </c>
      <c r="C80" s="100"/>
      <c r="D80" s="100"/>
      <c r="E80" s="100"/>
      <c r="F80" s="100"/>
      <c r="G80" s="100"/>
      <c r="H80" s="100"/>
      <c r="I80" s="100"/>
      <c r="J80" s="152">
        <f>D36</f>
        <v>43524</v>
      </c>
      <c r="K80" s="100"/>
      <c r="L80" s="100"/>
      <c r="M80" s="100"/>
      <c r="N80" s="100"/>
      <c r="O80" s="100"/>
      <c r="P80" s="100"/>
    </row>
    <row r="81" spans="1:16" ht="13.5" customHeight="1" x14ac:dyDescent="0.3">
      <c r="A81" s="100"/>
      <c r="B81" s="132" t="s">
        <v>398</v>
      </c>
      <c r="C81" s="100"/>
      <c r="D81" s="100"/>
      <c r="E81" s="100"/>
      <c r="F81" s="100"/>
      <c r="G81" s="100"/>
      <c r="H81" s="100"/>
      <c r="I81" s="100"/>
      <c r="J81" s="152">
        <f>D37</f>
        <v>9342</v>
      </c>
      <c r="K81" s="100"/>
      <c r="L81" s="100"/>
      <c r="M81" s="100"/>
      <c r="N81" s="100"/>
      <c r="O81" s="100"/>
      <c r="P81" s="100"/>
    </row>
    <row r="82" spans="1:16" ht="13.5" customHeight="1" x14ac:dyDescent="0.3">
      <c r="A82" s="100"/>
      <c r="B82" s="132" t="s">
        <v>399</v>
      </c>
      <c r="C82" s="100"/>
      <c r="D82" s="100"/>
      <c r="E82" s="100"/>
      <c r="F82" s="100"/>
      <c r="G82" s="100"/>
      <c r="H82" s="100"/>
      <c r="I82" s="100"/>
      <c r="J82" s="152">
        <f>D38</f>
        <v>661</v>
      </c>
      <c r="K82" s="100"/>
      <c r="L82" s="100"/>
      <c r="M82" s="100"/>
      <c r="N82" s="100"/>
      <c r="O82" s="100"/>
      <c r="P82" s="100"/>
    </row>
    <row r="83" spans="1:16" ht="13.5" customHeight="1" x14ac:dyDescent="0.3">
      <c r="A83" s="100"/>
      <c r="B83" s="132" t="s">
        <v>400</v>
      </c>
      <c r="C83" s="100"/>
      <c r="D83" s="100"/>
      <c r="E83" s="100"/>
      <c r="F83" s="100"/>
      <c r="G83" s="100"/>
      <c r="H83" s="100"/>
      <c r="I83" s="100"/>
      <c r="J83" s="152">
        <f>J79+J80-J81-J82</f>
        <v>225448.08926168934</v>
      </c>
      <c r="K83" s="100"/>
      <c r="L83" s="100"/>
      <c r="M83" s="155">
        <f>J83/J84</f>
        <v>57.075465635870721</v>
      </c>
      <c r="N83" s="100"/>
      <c r="O83" s="100"/>
      <c r="P83" s="100"/>
    </row>
    <row r="84" spans="1:16" ht="13.5" customHeight="1" x14ac:dyDescent="0.3">
      <c r="A84" s="100"/>
      <c r="B84" s="132" t="s">
        <v>401</v>
      </c>
      <c r="C84" s="100"/>
      <c r="D84" s="100"/>
      <c r="E84" s="100"/>
      <c r="F84" s="100"/>
      <c r="G84" s="100"/>
      <c r="H84" s="100"/>
      <c r="I84" s="100"/>
      <c r="J84" s="152">
        <f>D35</f>
        <v>3950</v>
      </c>
      <c r="K84" s="100"/>
      <c r="L84" s="100"/>
      <c r="M84" s="100"/>
      <c r="N84" s="100"/>
      <c r="O84" s="100"/>
      <c r="P84" s="100"/>
    </row>
    <row r="85" spans="1:16" ht="5.55" customHeight="1" x14ac:dyDescent="0.3">
      <c r="A85" s="100"/>
      <c r="B85" s="100"/>
      <c r="C85" s="100"/>
      <c r="D85" s="100"/>
      <c r="E85" s="100"/>
      <c r="F85" s="100"/>
      <c r="G85" s="100"/>
      <c r="H85" s="100"/>
      <c r="I85" s="100"/>
      <c r="J85" s="100"/>
      <c r="K85" s="100"/>
      <c r="L85" s="100"/>
      <c r="M85" s="100"/>
      <c r="N85" s="100"/>
      <c r="O85" s="100"/>
      <c r="P85" s="100"/>
    </row>
    <row r="86" spans="1:16" ht="5.55" customHeight="1" x14ac:dyDescent="0.3">
      <c r="A86" s="100"/>
      <c r="B86" s="100"/>
      <c r="C86" s="100"/>
      <c r="D86" s="100"/>
      <c r="E86" s="100"/>
      <c r="F86" s="100"/>
      <c r="G86" s="100"/>
      <c r="H86" s="100"/>
      <c r="I86" s="100"/>
      <c r="J86" s="100"/>
      <c r="K86" s="100"/>
      <c r="L86" s="100"/>
      <c r="M86" s="100"/>
      <c r="N86" s="100"/>
      <c r="O86" s="100"/>
      <c r="P86" s="100"/>
    </row>
    <row r="87" spans="1:16" ht="16.95" customHeight="1" x14ac:dyDescent="0.3">
      <c r="A87" s="24"/>
      <c r="B87" s="150" t="s">
        <v>409</v>
      </c>
      <c r="C87" s="151"/>
      <c r="D87" s="151"/>
      <c r="E87" s="151"/>
      <c r="F87" s="151"/>
      <c r="G87" s="151"/>
      <c r="H87" s="151"/>
      <c r="I87" s="151"/>
      <c r="J87" s="151"/>
      <c r="K87" s="151"/>
      <c r="L87" s="151"/>
      <c r="M87" s="151"/>
      <c r="N87" s="25"/>
      <c r="O87" s="25"/>
      <c r="P87" s="25"/>
    </row>
    <row r="88" spans="1:16" ht="13.5" customHeight="1" x14ac:dyDescent="0.3">
      <c r="A88" s="100"/>
      <c r="B88" s="135" t="s">
        <v>410</v>
      </c>
      <c r="C88" s="100"/>
      <c r="D88" s="100"/>
      <c r="E88" s="122">
        <f>O27</f>
        <v>29.5227455030005</v>
      </c>
      <c r="F88" s="100"/>
      <c r="G88" s="152">
        <f>J34</f>
        <v>3806</v>
      </c>
      <c r="H88" s="153"/>
      <c r="I88" s="100"/>
      <c r="J88" s="152">
        <f>E88*G88</f>
        <v>112363.5693844199</v>
      </c>
      <c r="K88" s="100"/>
      <c r="L88" s="100"/>
      <c r="M88" s="154" t="s">
        <v>393</v>
      </c>
      <c r="N88" s="349" t="s">
        <v>411</v>
      </c>
      <c r="O88" s="297"/>
      <c r="P88" s="297"/>
    </row>
    <row r="89" spans="1:16" ht="13.5" customHeight="1" x14ac:dyDescent="0.3">
      <c r="A89" s="100"/>
      <c r="B89" s="132" t="s">
        <v>412</v>
      </c>
      <c r="C89" s="100"/>
      <c r="D89" s="100"/>
      <c r="E89" s="100"/>
      <c r="F89" s="100"/>
      <c r="G89" s="100"/>
      <c r="H89" s="100"/>
      <c r="I89" s="100"/>
      <c r="J89" s="100"/>
      <c r="K89" s="100"/>
      <c r="L89" s="100"/>
      <c r="M89" s="100"/>
      <c r="N89" s="100"/>
      <c r="O89" s="100"/>
      <c r="P89" s="100"/>
    </row>
    <row r="90" spans="1:16" ht="13.5" customHeight="1" x14ac:dyDescent="0.3">
      <c r="A90" s="100"/>
      <c r="B90" s="132" t="s">
        <v>401</v>
      </c>
      <c r="C90" s="100"/>
      <c r="D90" s="100"/>
      <c r="E90" s="100"/>
      <c r="F90" s="100"/>
      <c r="G90" s="100"/>
      <c r="H90" s="100"/>
      <c r="I90" s="100"/>
      <c r="J90" s="152">
        <f>D35</f>
        <v>3950</v>
      </c>
      <c r="K90" s="100"/>
      <c r="L90" s="100"/>
      <c r="M90" s="155">
        <f>J88/J90</f>
        <v>28.446473261878456</v>
      </c>
      <c r="N90" s="100"/>
      <c r="O90" s="100"/>
      <c r="P90" s="100"/>
    </row>
    <row r="91" spans="1:16" ht="5.55" customHeight="1" x14ac:dyDescent="0.3">
      <c r="A91" s="100"/>
      <c r="B91" s="100"/>
      <c r="C91" s="100"/>
      <c r="D91" s="100"/>
      <c r="E91" s="100"/>
      <c r="F91" s="100"/>
      <c r="G91" s="100"/>
      <c r="H91" s="100"/>
      <c r="I91" s="100"/>
      <c r="J91" s="100"/>
      <c r="K91" s="100"/>
      <c r="L91" s="100"/>
      <c r="M91" s="100"/>
      <c r="N91" s="100"/>
      <c r="O91" s="100"/>
      <c r="P91" s="100"/>
    </row>
    <row r="92" spans="1:16" ht="13.5" customHeight="1" x14ac:dyDescent="0.3">
      <c r="A92" s="100"/>
      <c r="B92" s="135" t="s">
        <v>413</v>
      </c>
      <c r="C92" s="100"/>
      <c r="D92" s="100"/>
      <c r="E92" s="122">
        <f>O28</f>
        <v>33.41904088999172</v>
      </c>
      <c r="F92" s="100"/>
      <c r="G92" s="152">
        <f>J34</f>
        <v>3806</v>
      </c>
      <c r="H92" s="153"/>
      <c r="I92" s="100"/>
      <c r="J92" s="152">
        <f>E92*G92</f>
        <v>127192.86962730849</v>
      </c>
      <c r="K92" s="100"/>
      <c r="L92" s="100"/>
      <c r="M92" s="154" t="s">
        <v>393</v>
      </c>
      <c r="N92" s="349" t="s">
        <v>411</v>
      </c>
      <c r="O92" s="297"/>
      <c r="P92" s="297"/>
    </row>
    <row r="93" spans="1:16" ht="13.5" customHeight="1" x14ac:dyDescent="0.3">
      <c r="A93" s="100"/>
      <c r="B93" s="132" t="s">
        <v>412</v>
      </c>
      <c r="C93" s="100"/>
      <c r="D93" s="100"/>
      <c r="E93" s="100"/>
      <c r="F93" s="100"/>
      <c r="G93" s="100"/>
      <c r="H93" s="100"/>
      <c r="I93" s="100"/>
      <c r="J93" s="100"/>
      <c r="K93" s="100"/>
      <c r="L93" s="100"/>
      <c r="M93" s="100"/>
      <c r="N93" s="100"/>
      <c r="O93" s="100"/>
      <c r="P93" s="100"/>
    </row>
    <row r="94" spans="1:16" ht="13.5" customHeight="1" x14ac:dyDescent="0.3">
      <c r="A94" s="100"/>
      <c r="B94" s="132" t="s">
        <v>401</v>
      </c>
      <c r="C94" s="100"/>
      <c r="D94" s="100"/>
      <c r="E94" s="100"/>
      <c r="F94" s="100"/>
      <c r="G94" s="100"/>
      <c r="H94" s="100"/>
      <c r="I94" s="100"/>
      <c r="J94" s="152">
        <f>D35</f>
        <v>3950</v>
      </c>
      <c r="K94" s="100"/>
      <c r="L94" s="100"/>
      <c r="M94" s="155">
        <f>J92/J94</f>
        <v>32.200726487926204</v>
      </c>
      <c r="N94" s="100"/>
      <c r="O94" s="100"/>
      <c r="P94" s="100"/>
    </row>
    <row r="95" spans="1:16" ht="5.55" customHeight="1" x14ac:dyDescent="0.3">
      <c r="A95" s="100"/>
      <c r="B95" s="100"/>
      <c r="C95" s="100"/>
      <c r="D95" s="100"/>
      <c r="E95" s="100"/>
      <c r="F95" s="100"/>
      <c r="G95" s="100"/>
      <c r="H95" s="100"/>
      <c r="I95" s="100"/>
      <c r="J95" s="100"/>
      <c r="K95" s="100"/>
      <c r="L95" s="100"/>
      <c r="M95" s="100"/>
      <c r="N95" s="100"/>
      <c r="O95" s="100"/>
      <c r="P95" s="100"/>
    </row>
    <row r="96" spans="1:16" ht="13.5" customHeight="1" x14ac:dyDescent="0.3">
      <c r="A96" s="100"/>
      <c r="B96" s="135" t="s">
        <v>414</v>
      </c>
      <c r="C96" s="100"/>
      <c r="D96" s="100"/>
      <c r="E96" s="122">
        <f>O29</f>
        <v>37.315336276982933</v>
      </c>
      <c r="F96" s="100"/>
      <c r="G96" s="152">
        <f>J34</f>
        <v>3806</v>
      </c>
      <c r="H96" s="153"/>
      <c r="I96" s="100"/>
      <c r="J96" s="152">
        <f>E96*G96</f>
        <v>142022.16987019705</v>
      </c>
      <c r="K96" s="100"/>
      <c r="L96" s="100"/>
      <c r="M96" s="154" t="s">
        <v>393</v>
      </c>
      <c r="N96" s="349" t="s">
        <v>411</v>
      </c>
      <c r="O96" s="297"/>
      <c r="P96" s="297"/>
    </row>
    <row r="97" spans="1:16" ht="13.5" customHeight="1" x14ac:dyDescent="0.3">
      <c r="A97" s="100"/>
      <c r="B97" s="132" t="s">
        <v>412</v>
      </c>
      <c r="C97" s="100"/>
      <c r="D97" s="100"/>
      <c r="E97" s="100"/>
      <c r="F97" s="100"/>
      <c r="G97" s="100"/>
      <c r="H97" s="100"/>
      <c r="I97" s="100"/>
      <c r="J97" s="100"/>
      <c r="K97" s="100"/>
      <c r="L97" s="100"/>
      <c r="M97" s="100"/>
      <c r="N97" s="100"/>
      <c r="O97" s="100"/>
      <c r="P97" s="100"/>
    </row>
    <row r="98" spans="1:16" ht="13.5" customHeight="1" x14ac:dyDescent="0.3">
      <c r="A98" s="100"/>
      <c r="B98" s="132" t="s">
        <v>401</v>
      </c>
      <c r="C98" s="100"/>
      <c r="D98" s="100"/>
      <c r="E98" s="100"/>
      <c r="F98" s="100"/>
      <c r="G98" s="100"/>
      <c r="H98" s="100"/>
      <c r="I98" s="100"/>
      <c r="J98" s="152">
        <f>D35</f>
        <v>3950</v>
      </c>
      <c r="K98" s="100"/>
      <c r="L98" s="100"/>
      <c r="M98" s="155">
        <f>J96/J98</f>
        <v>35.954979713973934</v>
      </c>
      <c r="N98" s="100"/>
      <c r="O98" s="100"/>
      <c r="P98" s="100"/>
    </row>
    <row r="99" spans="1:16" ht="5.55" customHeight="1" x14ac:dyDescent="0.3">
      <c r="A99" s="100"/>
      <c r="B99" s="100"/>
      <c r="C99" s="100"/>
      <c r="D99" s="100"/>
      <c r="E99" s="100"/>
      <c r="F99" s="100"/>
      <c r="G99" s="100"/>
      <c r="H99" s="100"/>
      <c r="I99" s="100"/>
      <c r="J99" s="100"/>
      <c r="K99" s="100"/>
      <c r="L99" s="100"/>
      <c r="M99" s="100"/>
      <c r="N99" s="100"/>
      <c r="O99" s="100"/>
      <c r="P99" s="100"/>
    </row>
    <row r="100" spans="1:16" ht="16.95" customHeight="1" x14ac:dyDescent="0.3">
      <c r="A100" s="350" t="s">
        <v>415</v>
      </c>
      <c r="B100" s="351"/>
      <c r="C100" s="351"/>
      <c r="D100" s="351"/>
      <c r="E100" s="351"/>
      <c r="F100" s="351"/>
      <c r="G100" s="351"/>
      <c r="H100" s="351"/>
      <c r="I100" s="351"/>
      <c r="J100" s="351"/>
      <c r="K100" s="351"/>
      <c r="L100" s="351"/>
      <c r="M100" s="351"/>
      <c r="N100" s="351"/>
      <c r="O100" s="351"/>
      <c r="P100" s="351"/>
    </row>
    <row r="101" spans="1:16" ht="19.95" customHeight="1" x14ac:dyDescent="0.3">
      <c r="A101" s="100"/>
      <c r="B101" s="110" t="s">
        <v>416</v>
      </c>
      <c r="C101" s="156"/>
      <c r="D101" s="156"/>
      <c r="E101" s="111" t="s">
        <v>417</v>
      </c>
      <c r="F101" s="156"/>
      <c r="G101" s="156"/>
      <c r="H101" s="111" t="s">
        <v>418</v>
      </c>
      <c r="I101" s="156"/>
      <c r="J101" s="156"/>
      <c r="K101" s="111" t="s">
        <v>419</v>
      </c>
      <c r="L101" s="156"/>
      <c r="M101" s="111" t="s">
        <v>420</v>
      </c>
      <c r="N101" s="100"/>
      <c r="O101" s="100"/>
      <c r="P101" s="100"/>
    </row>
    <row r="102" spans="1:16" ht="15" customHeight="1" x14ac:dyDescent="0.3">
      <c r="A102" s="100"/>
      <c r="B102" s="157" t="s">
        <v>421</v>
      </c>
      <c r="C102" s="22"/>
      <c r="D102" s="22"/>
      <c r="E102" s="158">
        <f>M47</f>
        <v>27.17861809326676</v>
      </c>
      <c r="F102" s="22"/>
      <c r="G102" s="22"/>
      <c r="H102" s="158">
        <f>M69</f>
        <v>35.189835417323827</v>
      </c>
      <c r="I102" s="22"/>
      <c r="J102" s="22"/>
      <c r="K102" s="158">
        <f>M90</f>
        <v>28.446473261878456</v>
      </c>
      <c r="L102" s="22"/>
      <c r="M102" s="159">
        <f>AVERAGE(E102,H102,K102)</f>
        <v>30.271642257489678</v>
      </c>
      <c r="N102" s="100"/>
      <c r="O102" s="100"/>
      <c r="P102" s="100"/>
    </row>
    <row r="103" spans="1:16" ht="15" customHeight="1" x14ac:dyDescent="0.3">
      <c r="A103" s="100"/>
      <c r="B103" s="34" t="s">
        <v>422</v>
      </c>
      <c r="C103" s="22"/>
      <c r="D103" s="22"/>
      <c r="E103" s="158">
        <f>M54</f>
        <v>34.129978678085536</v>
      </c>
      <c r="F103" s="22"/>
      <c r="G103" s="22"/>
      <c r="H103" s="158">
        <f>M76</f>
        <v>44.020244969228735</v>
      </c>
      <c r="I103" s="22"/>
      <c r="J103" s="22"/>
      <c r="K103" s="158">
        <f>M94</f>
        <v>32.200726487926204</v>
      </c>
      <c r="L103" s="22"/>
      <c r="M103" s="160">
        <f>AVERAGE(E103,H103,K103)</f>
        <v>36.783650045080158</v>
      </c>
      <c r="N103" s="100"/>
      <c r="O103" s="100"/>
      <c r="P103" s="100"/>
    </row>
    <row r="104" spans="1:16" ht="15" customHeight="1" x14ac:dyDescent="0.3">
      <c r="A104" s="100"/>
      <c r="B104" s="157" t="s">
        <v>423</v>
      </c>
      <c r="C104" s="22"/>
      <c r="D104" s="22"/>
      <c r="E104" s="158">
        <f>M61</f>
        <v>62.280985105303685</v>
      </c>
      <c r="F104" s="22"/>
      <c r="G104" s="22"/>
      <c r="H104" s="158">
        <f>M83</f>
        <v>57.075465635870721</v>
      </c>
      <c r="I104" s="22"/>
      <c r="J104" s="22"/>
      <c r="K104" s="158">
        <f>M98</f>
        <v>35.954979713973934</v>
      </c>
      <c r="L104" s="22"/>
      <c r="M104" s="159">
        <f>AVERAGE(E104,H104,K104)</f>
        <v>51.770476818382775</v>
      </c>
      <c r="N104" s="100"/>
      <c r="O104" s="100"/>
      <c r="P104" s="100"/>
    </row>
    <row r="105" spans="1:16" x14ac:dyDescent="0.3">
      <c r="A105" s="100"/>
      <c r="B105" s="100"/>
      <c r="C105" s="100"/>
      <c r="D105" s="100"/>
      <c r="E105" s="100"/>
      <c r="F105" s="100"/>
      <c r="G105" s="100"/>
      <c r="H105" s="100"/>
      <c r="I105" s="100"/>
      <c r="J105" s="100"/>
      <c r="K105" s="100"/>
      <c r="L105" s="100"/>
      <c r="M105" s="100"/>
      <c r="N105" s="100"/>
      <c r="O105" s="100"/>
      <c r="P105" s="100"/>
    </row>
    <row r="106" spans="1:16" ht="15" customHeight="1" x14ac:dyDescent="0.3">
      <c r="B106" s="15"/>
    </row>
  </sheetData>
  <mergeCells count="28">
    <mergeCell ref="A2:P2"/>
    <mergeCell ref="G1:P1"/>
    <mergeCell ref="C5:P5"/>
    <mergeCell ref="A13:P13"/>
    <mergeCell ref="N57:P57"/>
    <mergeCell ref="A40:P40"/>
    <mergeCell ref="E1:F1"/>
    <mergeCell ref="C10:P10"/>
    <mergeCell ref="A15:P15"/>
    <mergeCell ref="C9:P9"/>
    <mergeCell ref="A1:D1"/>
    <mergeCell ref="C11:P11"/>
    <mergeCell ref="C8:P8"/>
    <mergeCell ref="N50:P50"/>
    <mergeCell ref="C7:P7"/>
    <mergeCell ref="B24:R24"/>
    <mergeCell ref="A3:P3"/>
    <mergeCell ref="A32:P32"/>
    <mergeCell ref="C6:P6"/>
    <mergeCell ref="N92:P92"/>
    <mergeCell ref="A4:P4"/>
    <mergeCell ref="A100:P100"/>
    <mergeCell ref="N88:P88"/>
    <mergeCell ref="N65:P65"/>
    <mergeCell ref="N79:P79"/>
    <mergeCell ref="N43:P43"/>
    <mergeCell ref="N96:P96"/>
    <mergeCell ref="N72:P72"/>
  </mergeCells>
  <hyperlinks>
    <hyperlink ref="E1" location="Cover!A1" display="◄  Cover"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F9198"/>
  </sheetPr>
  <dimension ref="A1:P16"/>
  <sheetViews>
    <sheetView showGridLines="0" workbookViewId="0">
      <selection sqref="A1:D1"/>
    </sheetView>
  </sheetViews>
  <sheetFormatPr defaultColWidth="8.6640625" defaultRowHeight="14.4" x14ac:dyDescent="0.3"/>
  <cols>
    <col min="1" max="1" width="2.21875" customWidth="1"/>
    <col min="2" max="2" width="32" customWidth="1"/>
    <col min="3" max="3" width="26" customWidth="1"/>
    <col min="4" max="4" width="20" customWidth="1"/>
    <col min="5" max="5" width="15" customWidth="1"/>
    <col min="6" max="7" width="14" customWidth="1"/>
    <col min="8" max="9" width="11" customWidth="1"/>
    <col min="10" max="10" width="74" customWidth="1"/>
    <col min="11" max="16" width="2" customWidth="1"/>
  </cols>
  <sheetData>
    <row r="1" spans="1:16" ht="27" customHeight="1" x14ac:dyDescent="0.3">
      <c r="A1" s="301" t="s">
        <v>1</v>
      </c>
      <c r="B1" s="299"/>
      <c r="C1" s="299"/>
      <c r="D1" s="299"/>
      <c r="E1" s="298" t="s">
        <v>71</v>
      </c>
      <c r="F1" s="299"/>
      <c r="G1" s="304" t="s">
        <v>424</v>
      </c>
      <c r="H1" s="357"/>
      <c r="I1" s="357"/>
      <c r="J1" s="357"/>
    </row>
    <row r="2" spans="1:16" ht="34.049999999999997" customHeight="1" x14ac:dyDescent="0.3">
      <c r="A2" s="356" t="s">
        <v>425</v>
      </c>
      <c r="B2" s="297"/>
      <c r="C2" s="297"/>
      <c r="D2" s="297"/>
      <c r="E2" s="297"/>
      <c r="F2" s="297"/>
      <c r="G2" s="297"/>
      <c r="H2" s="297"/>
      <c r="I2" s="297"/>
      <c r="J2" s="297"/>
    </row>
    <row r="3" spans="1:16" ht="6" customHeight="1" x14ac:dyDescent="0.3"/>
    <row r="4" spans="1:16" ht="16.95" customHeight="1" x14ac:dyDescent="0.3">
      <c r="A4" s="350" t="s">
        <v>426</v>
      </c>
      <c r="B4" s="351"/>
      <c r="C4" s="351"/>
      <c r="D4" s="351"/>
      <c r="E4" s="351"/>
      <c r="F4" s="351"/>
      <c r="G4" s="351"/>
      <c r="H4" s="351"/>
      <c r="I4" s="351"/>
      <c r="J4" s="351"/>
      <c r="K4" s="297"/>
      <c r="L4" s="297"/>
      <c r="M4" s="297"/>
      <c r="N4" s="297"/>
      <c r="O4" s="297"/>
      <c r="P4" s="297"/>
    </row>
    <row r="5" spans="1:16" ht="25.95" customHeight="1" x14ac:dyDescent="0.3">
      <c r="B5" s="110" t="s">
        <v>427</v>
      </c>
      <c r="C5" s="111" t="s">
        <v>428</v>
      </c>
      <c r="D5" s="111" t="s">
        <v>429</v>
      </c>
      <c r="E5" s="111" t="s">
        <v>430</v>
      </c>
      <c r="F5" s="111" t="s">
        <v>431</v>
      </c>
      <c r="G5" s="111" t="s">
        <v>432</v>
      </c>
      <c r="H5" s="111" t="s">
        <v>433</v>
      </c>
      <c r="I5" s="111" t="s">
        <v>355</v>
      </c>
      <c r="J5" s="111" t="s">
        <v>434</v>
      </c>
    </row>
    <row r="6" spans="1:16" ht="46.05" customHeight="1" x14ac:dyDescent="0.3">
      <c r="B6" s="161" t="s">
        <v>435</v>
      </c>
      <c r="C6" s="162" t="s">
        <v>436</v>
      </c>
      <c r="D6" s="163" t="s">
        <v>437</v>
      </c>
      <c r="E6" s="164">
        <v>1200</v>
      </c>
      <c r="F6" s="165" t="s">
        <v>438</v>
      </c>
      <c r="G6" s="165" t="s">
        <v>438</v>
      </c>
      <c r="H6" s="166" t="str">
        <f>IF(OR(NOT(ISNUMBER(F6)),F6&lt;=0),"N/A",E6/F6)</f>
        <v>N/A</v>
      </c>
      <c r="I6" s="166" t="str">
        <f>IF(OR(NOT(ISNUMBER(G6)),G6&lt;=0),"N/A",E6/G6)</f>
        <v>N/A</v>
      </c>
      <c r="J6" s="167" t="s">
        <v>439</v>
      </c>
    </row>
    <row r="7" spans="1:16" ht="46.05" customHeight="1" x14ac:dyDescent="0.3">
      <c r="B7" s="168" t="s">
        <v>440</v>
      </c>
      <c r="C7" s="169" t="s">
        <v>441</v>
      </c>
      <c r="D7" s="170" t="s">
        <v>442</v>
      </c>
      <c r="E7" s="171">
        <v>2100</v>
      </c>
      <c r="F7" s="172" t="s">
        <v>438</v>
      </c>
      <c r="G7" s="172" t="s">
        <v>438</v>
      </c>
      <c r="H7" s="173" t="str">
        <f>IF(OR(NOT(ISNUMBER(F7)),F7&lt;=0),"N/A",E7/F7)</f>
        <v>N/A</v>
      </c>
      <c r="I7" s="173" t="str">
        <f>IF(OR(NOT(ISNUMBER(G7)),G7&lt;=0),"N/A",E7/G7)</f>
        <v>N/A</v>
      </c>
      <c r="J7" s="174" t="s">
        <v>443</v>
      </c>
    </row>
    <row r="8" spans="1:16" ht="46.05" customHeight="1" x14ac:dyDescent="0.3">
      <c r="B8" s="161" t="s">
        <v>444</v>
      </c>
      <c r="C8" s="162" t="s">
        <v>445</v>
      </c>
      <c r="D8" s="163" t="s">
        <v>446</v>
      </c>
      <c r="E8" s="164">
        <v>230</v>
      </c>
      <c r="F8" s="165" t="s">
        <v>438</v>
      </c>
      <c r="G8" s="165" t="s">
        <v>438</v>
      </c>
      <c r="H8" s="166" t="str">
        <f>IF(OR(NOT(ISNUMBER(F8)),F8&lt;=0),"N/A",E8/F8)</f>
        <v>N/A</v>
      </c>
      <c r="I8" s="166" t="str">
        <f>IF(OR(NOT(ISNUMBER(G8)),G8&lt;=0),"N/A",E8/G8)</f>
        <v>N/A</v>
      </c>
      <c r="J8" s="167" t="s">
        <v>447</v>
      </c>
    </row>
    <row r="9" spans="1:16" ht="46.05" customHeight="1" x14ac:dyDescent="0.3">
      <c r="B9" s="168" t="s">
        <v>448</v>
      </c>
      <c r="C9" s="169" t="s">
        <v>449</v>
      </c>
      <c r="D9" s="170" t="s">
        <v>450</v>
      </c>
      <c r="E9" s="171">
        <v>882</v>
      </c>
      <c r="F9" s="172" t="s">
        <v>438</v>
      </c>
      <c r="G9" s="172" t="s">
        <v>438</v>
      </c>
      <c r="H9" s="173" t="str">
        <f>IF(OR(NOT(ISNUMBER(F9)),F9&lt;=0),"N/A",E9/F9)</f>
        <v>N/A</v>
      </c>
      <c r="I9" s="173" t="str">
        <f>IF(OR(NOT(ISNUMBER(G9)),G9&lt;=0),"N/A",E9/G9)</f>
        <v>N/A</v>
      </c>
      <c r="J9" s="174" t="s">
        <v>451</v>
      </c>
    </row>
    <row r="10" spans="1:16" ht="46.05" customHeight="1" x14ac:dyDescent="0.3">
      <c r="B10" s="161" t="s">
        <v>452</v>
      </c>
      <c r="C10" s="162" t="s">
        <v>453</v>
      </c>
      <c r="D10" s="163" t="s">
        <v>454</v>
      </c>
      <c r="E10" s="164">
        <v>1100</v>
      </c>
      <c r="F10" s="165" t="s">
        <v>438</v>
      </c>
      <c r="G10" s="165" t="s">
        <v>438</v>
      </c>
      <c r="H10" s="166" t="str">
        <f>IF(OR(NOT(ISNUMBER(F10)),F10&lt;=0),"N/A",E10/F10)</f>
        <v>N/A</v>
      </c>
      <c r="I10" s="166" t="str">
        <f>IF(OR(NOT(ISNUMBER(G10)),G10&lt;=0),"N/A",E10/G10)</f>
        <v>N/A</v>
      </c>
      <c r="J10" s="167" t="s">
        <v>455</v>
      </c>
    </row>
    <row r="11" spans="1:16" ht="16.95" customHeight="1" x14ac:dyDescent="0.3">
      <c r="A11" s="350" t="s">
        <v>456</v>
      </c>
      <c r="B11" s="351"/>
      <c r="C11" s="351"/>
      <c r="D11" s="351"/>
      <c r="E11" s="351"/>
      <c r="F11" s="351"/>
      <c r="G11" s="351"/>
      <c r="H11" s="351"/>
      <c r="I11" s="351"/>
      <c r="J11" s="351"/>
      <c r="K11" s="297"/>
      <c r="L11" s="297"/>
      <c r="M11" s="297"/>
      <c r="N11" s="297"/>
      <c r="O11" s="297"/>
      <c r="P11" s="297"/>
    </row>
    <row r="12" spans="1:16" ht="76.05" customHeight="1" x14ac:dyDescent="0.3">
      <c r="A12" s="356" t="s">
        <v>457</v>
      </c>
      <c r="B12" s="297"/>
      <c r="C12" s="297"/>
      <c r="D12" s="297"/>
      <c r="E12" s="297"/>
      <c r="F12" s="297"/>
      <c r="G12" s="297"/>
      <c r="H12" s="297"/>
      <c r="I12" s="297"/>
      <c r="J12" s="297"/>
      <c r="K12" s="297"/>
      <c r="L12" s="297"/>
      <c r="M12" s="297"/>
      <c r="N12" s="297"/>
      <c r="O12" s="297"/>
      <c r="P12" s="297"/>
    </row>
    <row r="13" spans="1:16" ht="18" customHeight="1" x14ac:dyDescent="0.3">
      <c r="D13" s="111" t="s">
        <v>377</v>
      </c>
      <c r="E13" s="111" t="s">
        <v>378</v>
      </c>
      <c r="F13" s="111" t="s">
        <v>379</v>
      </c>
      <c r="G13" s="111" t="s">
        <v>380</v>
      </c>
      <c r="H13" s="111" t="s">
        <v>381</v>
      </c>
    </row>
    <row r="14" spans="1:16" ht="15" customHeight="1" x14ac:dyDescent="0.3">
      <c r="B14" s="92" t="s">
        <v>458</v>
      </c>
      <c r="D14" s="175">
        <f>MIN(E6:E10)</f>
        <v>230</v>
      </c>
      <c r="E14" s="175">
        <v>882</v>
      </c>
      <c r="F14" s="175">
        <f>MEDIAN(E6:E10)</f>
        <v>1100</v>
      </c>
      <c r="G14" s="175">
        <f>QUARTILE(E6:E10,3)</f>
        <v>1200</v>
      </c>
      <c r="H14" s="175">
        <f>MAX(E6:E10)</f>
        <v>2100</v>
      </c>
    </row>
    <row r="15" spans="1:16" ht="6" customHeight="1" x14ac:dyDescent="0.3"/>
    <row r="16" spans="1:16" ht="61.95" customHeight="1" x14ac:dyDescent="0.3">
      <c r="A16" s="356" t="s">
        <v>459</v>
      </c>
      <c r="B16" s="297"/>
      <c r="C16" s="297"/>
      <c r="D16" s="297"/>
      <c r="E16" s="297"/>
      <c r="F16" s="297"/>
      <c r="G16" s="297"/>
      <c r="H16" s="297"/>
      <c r="I16" s="297"/>
      <c r="J16" s="297"/>
      <c r="K16" s="297"/>
      <c r="L16" s="297"/>
      <c r="M16" s="297"/>
      <c r="N16" s="297"/>
      <c r="O16" s="297"/>
      <c r="P16" s="297"/>
    </row>
  </sheetData>
  <mergeCells count="8">
    <mergeCell ref="A16:P16"/>
    <mergeCell ref="A11:P11"/>
    <mergeCell ref="A1:D1"/>
    <mergeCell ref="E1:F1"/>
    <mergeCell ref="A12:P12"/>
    <mergeCell ref="A4:P4"/>
    <mergeCell ref="G1:J1"/>
    <mergeCell ref="A2:J2"/>
  </mergeCells>
  <hyperlinks>
    <hyperlink ref="E1" location="Cover!A1" display="◄  Cover"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31937"/>
  </sheetPr>
  <dimension ref="A1:P122"/>
  <sheetViews>
    <sheetView showGridLines="0" zoomScale="107" workbookViewId="0">
      <pane xSplit="5" ySplit="3" topLeftCell="F41" activePane="bottomRight" state="frozen"/>
      <selection pane="topRight" activeCell="F1" sqref="F1"/>
      <selection pane="bottomLeft" activeCell="A4" sqref="A4"/>
      <selection pane="bottomRight" activeCell="C55" sqref="C55"/>
    </sheetView>
  </sheetViews>
  <sheetFormatPr defaultColWidth="8.6640625" defaultRowHeight="14.4" x14ac:dyDescent="0.3"/>
  <cols>
    <col min="1" max="2" width="2.21875" customWidth="1"/>
    <col min="3" max="3" width="46" customWidth="1"/>
    <col min="4" max="4" width="1.5546875" customWidth="1"/>
    <col min="5" max="5" width="11.44140625" customWidth="1"/>
    <col min="6" max="6" width="13.44140625" customWidth="1"/>
    <col min="7" max="7" width="12" customWidth="1"/>
    <col min="8" max="8" width="1.5546875" customWidth="1"/>
    <col min="9" max="10" width="12" customWidth="1"/>
    <col min="11" max="11" width="14" customWidth="1"/>
    <col min="12" max="16" width="11.5546875" customWidth="1"/>
  </cols>
  <sheetData>
    <row r="1" spans="1:16" ht="27" customHeight="1" x14ac:dyDescent="0.3">
      <c r="A1" s="301" t="s">
        <v>1</v>
      </c>
      <c r="B1" s="299"/>
      <c r="C1" s="299"/>
      <c r="D1" s="299"/>
      <c r="E1" s="298" t="s">
        <v>71</v>
      </c>
      <c r="F1" s="299"/>
      <c r="G1" s="304" t="s">
        <v>460</v>
      </c>
      <c r="H1" s="299"/>
      <c r="I1" s="299"/>
      <c r="J1" s="299"/>
      <c r="K1" s="299"/>
      <c r="L1" s="299"/>
      <c r="M1" s="299"/>
      <c r="N1" s="299"/>
      <c r="O1" s="299"/>
      <c r="P1" s="299"/>
    </row>
    <row r="2" spans="1:16" ht="13.05" customHeight="1" x14ac:dyDescent="0.3">
      <c r="A2" s="305" t="s">
        <v>155</v>
      </c>
      <c r="B2" s="297"/>
      <c r="C2" s="297"/>
      <c r="D2" s="297"/>
      <c r="E2" s="297"/>
      <c r="F2" s="297"/>
      <c r="G2" s="297"/>
      <c r="H2" s="297"/>
      <c r="I2" s="297"/>
      <c r="J2" s="297"/>
      <c r="K2" s="297"/>
      <c r="L2" s="297"/>
      <c r="M2" s="297"/>
      <c r="N2" s="297"/>
      <c r="O2" s="297"/>
      <c r="P2" s="297"/>
    </row>
    <row r="3" spans="1:16" ht="16.95" customHeight="1" x14ac:dyDescent="0.3">
      <c r="E3" s="40" t="s">
        <v>76</v>
      </c>
      <c r="G3" s="41" t="s">
        <v>77</v>
      </c>
      <c r="H3" s="41" t="s">
        <v>78</v>
      </c>
      <c r="I3" s="41" t="s">
        <v>79</v>
      </c>
      <c r="J3" s="41" t="s">
        <v>80</v>
      </c>
      <c r="K3" s="41" t="s">
        <v>81</v>
      </c>
      <c r="L3" s="42" t="s">
        <v>82</v>
      </c>
      <c r="M3" s="42" t="s">
        <v>83</v>
      </c>
      <c r="N3" s="42" t="s">
        <v>84</v>
      </c>
      <c r="O3" s="42" t="s">
        <v>85</v>
      </c>
      <c r="P3" s="42" t="s">
        <v>86</v>
      </c>
    </row>
    <row r="4" spans="1:16" ht="16.95" customHeight="1" x14ac:dyDescent="0.3">
      <c r="A4" s="24" t="s">
        <v>36</v>
      </c>
      <c r="B4" s="25"/>
      <c r="C4" s="25"/>
      <c r="D4" s="25"/>
      <c r="E4" s="25"/>
      <c r="F4" s="25"/>
      <c r="G4" s="360" t="s">
        <v>461</v>
      </c>
      <c r="H4" s="361"/>
      <c r="I4" s="361"/>
      <c r="J4" s="361"/>
      <c r="K4" s="361"/>
      <c r="L4" s="361"/>
      <c r="M4" s="361"/>
      <c r="N4" s="361"/>
      <c r="O4" s="361"/>
      <c r="P4" s="361"/>
    </row>
    <row r="5" spans="1:16" ht="14.4" customHeight="1" x14ac:dyDescent="0.3">
      <c r="C5" s="176" t="s">
        <v>142</v>
      </c>
      <c r="D5" s="177"/>
      <c r="E5" s="177"/>
      <c r="F5" s="178">
        <f>Assumptions!G58</f>
        <v>4.7699999999999999E-2</v>
      </c>
      <c r="G5" s="346" t="s">
        <v>462</v>
      </c>
      <c r="H5" s="297"/>
      <c r="I5" s="297"/>
      <c r="J5" s="297"/>
      <c r="K5" s="297"/>
      <c r="L5" s="297"/>
      <c r="M5" s="297"/>
      <c r="N5" s="297"/>
      <c r="O5" s="297"/>
      <c r="P5" s="297"/>
    </row>
    <row r="6" spans="1:16" ht="14.4" customHeight="1" x14ac:dyDescent="0.3">
      <c r="C6" s="176" t="s">
        <v>143</v>
      </c>
      <c r="D6" s="177"/>
      <c r="E6" s="177"/>
      <c r="F6" s="179">
        <f>Assumptions!G59</f>
        <v>1.85</v>
      </c>
      <c r="G6" s="346" t="s">
        <v>463</v>
      </c>
      <c r="H6" s="297"/>
      <c r="I6" s="297"/>
      <c r="J6" s="297"/>
      <c r="K6" s="297"/>
      <c r="L6" s="297"/>
      <c r="M6" s="297"/>
      <c r="N6" s="297"/>
      <c r="O6" s="297"/>
      <c r="P6" s="297"/>
    </row>
    <row r="7" spans="1:16" ht="14.4" customHeight="1" x14ac:dyDescent="0.3">
      <c r="C7" s="176" t="s">
        <v>144</v>
      </c>
      <c r="D7" s="177"/>
      <c r="E7" s="177"/>
      <c r="F7" s="178">
        <f>Assumptions!G60</f>
        <v>4.1399999999999999E-2</v>
      </c>
      <c r="G7" s="346" t="s">
        <v>464</v>
      </c>
      <c r="H7" s="297"/>
      <c r="I7" s="297"/>
      <c r="J7" s="297"/>
      <c r="K7" s="297"/>
      <c r="L7" s="297"/>
      <c r="M7" s="297"/>
      <c r="N7" s="297"/>
      <c r="O7" s="297"/>
      <c r="P7" s="297"/>
    </row>
    <row r="8" spans="1:16" ht="14.4" customHeight="1" x14ac:dyDescent="0.3">
      <c r="C8" s="176" t="s">
        <v>465</v>
      </c>
      <c r="D8" s="177"/>
      <c r="E8" s="177"/>
      <c r="F8" s="180">
        <f>F5+F6*F7</f>
        <v>0.12429000000000001</v>
      </c>
      <c r="G8" s="358" t="s">
        <v>466</v>
      </c>
      <c r="H8" s="297"/>
      <c r="I8" s="297"/>
      <c r="J8" s="297"/>
      <c r="K8" s="297"/>
      <c r="L8" s="297"/>
      <c r="M8" s="297"/>
      <c r="N8" s="297"/>
      <c r="O8" s="297"/>
      <c r="P8" s="297"/>
    </row>
    <row r="9" spans="1:16" ht="14.4" customHeight="1" x14ac:dyDescent="0.3">
      <c r="C9" s="176" t="s">
        <v>145</v>
      </c>
      <c r="D9" s="177"/>
      <c r="E9" s="177"/>
      <c r="F9" s="178">
        <f>Assumptions!G61</f>
        <v>0.05</v>
      </c>
      <c r="G9" s="346" t="s">
        <v>467</v>
      </c>
      <c r="H9" s="297"/>
      <c r="I9" s="297"/>
      <c r="J9" s="297"/>
      <c r="K9" s="297"/>
      <c r="L9" s="297"/>
      <c r="M9" s="297"/>
      <c r="N9" s="297"/>
      <c r="O9" s="297"/>
      <c r="P9" s="297"/>
    </row>
    <row r="10" spans="1:16" ht="14.4" customHeight="1" x14ac:dyDescent="0.3">
      <c r="C10" s="176" t="s">
        <v>468</v>
      </c>
      <c r="D10" s="177"/>
      <c r="E10" s="177"/>
      <c r="F10" s="181">
        <f>Assumptions!L49</f>
        <v>0.24</v>
      </c>
      <c r="G10" s="346" t="s">
        <v>469</v>
      </c>
      <c r="H10" s="297"/>
      <c r="I10" s="297"/>
      <c r="J10" s="297"/>
      <c r="K10" s="297"/>
      <c r="L10" s="297"/>
      <c r="M10" s="297"/>
      <c r="N10" s="297"/>
      <c r="O10" s="297"/>
      <c r="P10" s="297"/>
    </row>
    <row r="11" spans="1:16" ht="14.4" customHeight="1" x14ac:dyDescent="0.3">
      <c r="C11" s="176" t="s">
        <v>470</v>
      </c>
      <c r="D11" s="177"/>
      <c r="E11" s="177"/>
      <c r="F11" s="180">
        <f>F9*(1-F10)</f>
        <v>3.8000000000000006E-2</v>
      </c>
      <c r="G11" s="358" t="s">
        <v>471</v>
      </c>
      <c r="H11" s="297"/>
      <c r="I11" s="297"/>
      <c r="J11" s="297"/>
      <c r="K11" s="297"/>
      <c r="L11" s="297"/>
      <c r="M11" s="297"/>
      <c r="N11" s="297"/>
      <c r="O11" s="297"/>
      <c r="P11" s="297"/>
    </row>
    <row r="12" spans="1:16" ht="14.4" customHeight="1" x14ac:dyDescent="0.3">
      <c r="C12" s="176" t="s">
        <v>472</v>
      </c>
      <c r="D12" s="177"/>
      <c r="E12" s="177"/>
      <c r="F12" s="182">
        <f>'Loans &amp; Other Income'!K8</f>
        <v>8376</v>
      </c>
      <c r="G12" s="346" t="s">
        <v>473</v>
      </c>
      <c r="H12" s="297"/>
      <c r="I12" s="297"/>
      <c r="J12" s="297"/>
      <c r="K12" s="297"/>
      <c r="L12" s="297"/>
      <c r="M12" s="297"/>
      <c r="N12" s="297"/>
      <c r="O12" s="297"/>
      <c r="P12" s="297"/>
    </row>
    <row r="13" spans="1:16" ht="14.4" customHeight="1" x14ac:dyDescent="0.3">
      <c r="C13" s="176" t="s">
        <v>474</v>
      </c>
      <c r="D13" s="177"/>
      <c r="E13" s="177"/>
      <c r="F13" s="182">
        <f>Assumptions!G57*Assumptions!G56</f>
        <v>1486661.5</v>
      </c>
      <c r="G13" s="358" t="s">
        <v>475</v>
      </c>
      <c r="H13" s="297"/>
      <c r="I13" s="297"/>
      <c r="J13" s="297"/>
      <c r="K13" s="297"/>
      <c r="L13" s="297"/>
      <c r="M13" s="297"/>
      <c r="N13" s="297"/>
      <c r="O13" s="297"/>
      <c r="P13" s="297"/>
    </row>
    <row r="14" spans="1:16" ht="14.4" customHeight="1" x14ac:dyDescent="0.3">
      <c r="C14" s="176" t="s">
        <v>476</v>
      </c>
      <c r="D14" s="177"/>
      <c r="E14" s="177"/>
      <c r="F14" s="183">
        <f>F12+F13</f>
        <v>1495037.5</v>
      </c>
      <c r="G14" s="358" t="s">
        <v>477</v>
      </c>
      <c r="H14" s="297"/>
      <c r="I14" s="297"/>
      <c r="J14" s="297"/>
      <c r="K14" s="297"/>
      <c r="L14" s="297"/>
      <c r="M14" s="297"/>
      <c r="N14" s="297"/>
      <c r="O14" s="297"/>
      <c r="P14" s="297"/>
    </row>
    <row r="15" spans="1:16" ht="14.4" customHeight="1" x14ac:dyDescent="0.3">
      <c r="C15" s="176" t="s">
        <v>478</v>
      </c>
      <c r="D15" s="177"/>
      <c r="E15" s="177"/>
      <c r="F15" s="180">
        <f>F12/F14</f>
        <v>5.6025350534685582E-3</v>
      </c>
      <c r="G15" s="358" t="s">
        <v>479</v>
      </c>
      <c r="H15" s="297"/>
      <c r="I15" s="297"/>
      <c r="J15" s="297"/>
      <c r="K15" s="297"/>
      <c r="L15" s="297"/>
      <c r="M15" s="297"/>
      <c r="N15" s="297"/>
      <c r="O15" s="297"/>
      <c r="P15" s="297"/>
    </row>
    <row r="16" spans="1:16" ht="14.4" customHeight="1" x14ac:dyDescent="0.3">
      <c r="C16" s="176" t="s">
        <v>480</v>
      </c>
      <c r="D16" s="177"/>
      <c r="E16" s="177"/>
      <c r="F16" s="180">
        <f>F13/F14</f>
        <v>0.99439746494653147</v>
      </c>
      <c r="G16" s="358" t="s">
        <v>481</v>
      </c>
      <c r="H16" s="297"/>
      <c r="I16" s="297"/>
      <c r="J16" s="297"/>
      <c r="K16" s="297"/>
      <c r="L16" s="297"/>
      <c r="M16" s="297"/>
      <c r="N16" s="297"/>
      <c r="O16" s="297"/>
      <c r="P16" s="297"/>
    </row>
    <row r="17" spans="1:16" ht="14.4" customHeight="1" x14ac:dyDescent="0.3">
      <c r="C17" s="184" t="s">
        <v>36</v>
      </c>
      <c r="D17" s="84"/>
      <c r="E17" s="84"/>
      <c r="F17" s="185">
        <f>F15*F11+F16*F8</f>
        <v>0.12380655725023622</v>
      </c>
      <c r="G17" s="367" t="s">
        <v>482</v>
      </c>
      <c r="H17" s="368"/>
      <c r="I17" s="368"/>
      <c r="J17" s="368"/>
      <c r="K17" s="368"/>
      <c r="L17" s="368"/>
      <c r="M17" s="368"/>
      <c r="N17" s="368"/>
      <c r="O17" s="368"/>
      <c r="P17" s="368"/>
    </row>
    <row r="18" spans="1:16" ht="14.4" customHeight="1" x14ac:dyDescent="0.3">
      <c r="C18" s="186" t="s">
        <v>146</v>
      </c>
      <c r="D18" s="187"/>
      <c r="E18" s="187"/>
      <c r="F18" s="188">
        <f>Assumptions!G62</f>
        <v>3.7999999999999999E-2</v>
      </c>
      <c r="G18" s="346" t="s">
        <v>483</v>
      </c>
      <c r="H18" s="297"/>
      <c r="I18" s="297"/>
      <c r="J18" s="297"/>
      <c r="K18" s="297"/>
      <c r="L18" s="297"/>
      <c r="M18" s="297"/>
      <c r="N18" s="297"/>
      <c r="O18" s="297"/>
      <c r="P18" s="297"/>
    </row>
    <row r="19" spans="1:16" ht="4.95" customHeight="1" x14ac:dyDescent="0.3"/>
    <row r="20" spans="1:16" ht="4.95" customHeight="1" x14ac:dyDescent="0.3"/>
    <row r="21" spans="1:16" ht="16.95" customHeight="1" x14ac:dyDescent="0.3">
      <c r="A21" s="24" t="s">
        <v>484</v>
      </c>
      <c r="B21" s="25"/>
      <c r="C21" s="25"/>
      <c r="D21" s="25"/>
      <c r="E21" s="25"/>
      <c r="F21" s="25"/>
      <c r="G21" s="25"/>
      <c r="H21" s="25"/>
      <c r="I21" s="25"/>
      <c r="J21" s="25"/>
      <c r="K21" s="25"/>
      <c r="L21" s="25"/>
      <c r="M21" s="25"/>
      <c r="N21" s="25"/>
      <c r="O21" s="25"/>
      <c r="P21" s="25"/>
    </row>
    <row r="22" spans="1:16" ht="14.4" customHeight="1" x14ac:dyDescent="0.3">
      <c r="C22" s="23" t="s">
        <v>352</v>
      </c>
      <c r="L22" s="46">
        <f>IS!L25</f>
        <v>6928.2478360000023</v>
      </c>
      <c r="M22" s="46">
        <f>IS!M25</f>
        <v>9279.6902834495995</v>
      </c>
      <c r="N22" s="46">
        <f>IS!N25</f>
        <v>13063.029075417726</v>
      </c>
      <c r="O22" s="46">
        <f>IS!O25</f>
        <v>17020.074766837199</v>
      </c>
      <c r="P22" s="46">
        <f>IS!P25</f>
        <v>20564.3101794502</v>
      </c>
    </row>
    <row r="23" spans="1:16" ht="14.4" customHeight="1" x14ac:dyDescent="0.3">
      <c r="C23" s="23" t="s">
        <v>485</v>
      </c>
      <c r="L23" s="46">
        <f>L22*Assumptions!L49</f>
        <v>1662.7794806400004</v>
      </c>
      <c r="M23" s="46">
        <f>M22*Assumptions!M49</f>
        <v>2227.1256680279039</v>
      </c>
      <c r="N23" s="46">
        <f>N22*Assumptions!N49</f>
        <v>3135.1269781002543</v>
      </c>
      <c r="O23" s="46">
        <f>O22*Assumptions!O49</f>
        <v>4084.8179440409276</v>
      </c>
      <c r="P23" s="46">
        <f>P22*Assumptions!P49</f>
        <v>4935.4344430680476</v>
      </c>
    </row>
    <row r="24" spans="1:16" ht="14.4" customHeight="1" x14ac:dyDescent="0.3">
      <c r="C24" s="23" t="s">
        <v>486</v>
      </c>
      <c r="L24" s="70">
        <f>L22-L23</f>
        <v>5265.4683553600016</v>
      </c>
      <c r="M24" s="70">
        <f>M22-M23</f>
        <v>7052.5646154216956</v>
      </c>
      <c r="N24" s="70">
        <f>N22-N23</f>
        <v>9927.902097317472</v>
      </c>
      <c r="O24" s="70">
        <f>O22-O23</f>
        <v>12935.256822796271</v>
      </c>
      <c r="P24" s="70">
        <f>P22-P23</f>
        <v>15628.875736382153</v>
      </c>
    </row>
    <row r="25" spans="1:16" ht="14.4" customHeight="1" x14ac:dyDescent="0.3">
      <c r="C25" s="23" t="s">
        <v>193</v>
      </c>
      <c r="L25" s="46">
        <f>IS!L28</f>
        <v>6706.0950000000003</v>
      </c>
      <c r="M25" s="46">
        <f>IS!M28</f>
        <v>7059.4140896000008</v>
      </c>
      <c r="N25" s="46">
        <f>IS!N28</f>
        <v>7410.7221760376306</v>
      </c>
      <c r="O25" s="46">
        <f>IS!O28</f>
        <v>7803.5100698289161</v>
      </c>
      <c r="P25" s="46">
        <f>IS!P28</f>
        <v>8484.3256689341524</v>
      </c>
    </row>
    <row r="26" spans="1:16" ht="14.4" customHeight="1" x14ac:dyDescent="0.3">
      <c r="C26" s="23" t="s">
        <v>281</v>
      </c>
      <c r="L26" s="46">
        <f>'Asset Schedule'!L6</f>
        <v>10184.433060000005</v>
      </c>
      <c r="M26" s="46">
        <f>'Asset Schedule'!M6</f>
        <v>10749.186842746003</v>
      </c>
      <c r="N26" s="46">
        <f>'Asset Schedule'!N6</f>
        <v>11623.011828417737</v>
      </c>
      <c r="O26" s="46">
        <f>'Asset Schedule'!O6</f>
        <v>12342.280730530489</v>
      </c>
      <c r="P26" s="46">
        <f>'Asset Schedule'!P6</f>
        <v>12912.657146675068</v>
      </c>
    </row>
    <row r="27" spans="1:16" ht="14.4" customHeight="1" x14ac:dyDescent="0.3">
      <c r="C27" s="23" t="s">
        <v>487</v>
      </c>
      <c r="L27" s="46">
        <f>(BS!L6+BS!L7+(BS!L8*($F$30/($F$29+$F$30)))-BS!L17-BS!L18-BS!L19)-(BS!K6+BS!K7+$F$30-BS!K17-BS!K18-BS!K19)</f>
        <v>524.39312992315899</v>
      </c>
      <c r="M27" s="46">
        <f>(BS!M6+BS!M7+(BS!M8*($F$30/($F$29+$F$30)))-BS!M17-BS!M18-BS!M19)-(BS!L6+BS!L7+(BS!L8*($F$30/($F$29+$F$30)))-BS!L17-BS!L18-BS!L19)</f>
        <v>-770.03584755404154</v>
      </c>
      <c r="N27" s="46">
        <f>(BS!N6+BS!N7+(BS!N8*($F$30/($F$29+$F$30)))-BS!N17-BS!N18-BS!N19)-(BS!M6+BS!M7+(BS!M8*($F$30/($F$29+$F$30)))-BS!M17-BS!M18-BS!M19)</f>
        <v>-479.4639693644167</v>
      </c>
      <c r="O27" s="46">
        <f>(BS!O6+BS!O7+(BS!O8*($F$30/($F$29+$F$30)))-BS!O17-BS!O18-BS!O19)-(BS!N6+BS!N7+(BS!N8*($F$30/($F$29+$F$30)))-BS!N17-BS!N18-BS!N19)</f>
        <v>-1034.8840461101427</v>
      </c>
      <c r="P27" s="46">
        <f>(BS!P6+BS!P7+(BS!P8*($F$30/($F$29+$F$30)))-BS!P17-BS!P18-BS!P19)-(BS!O6+BS!O7+(BS!O8*($F$30/($F$29+$F$30)))-BS!O17-BS!O18-BS!O19)</f>
        <v>385.54438365391343</v>
      </c>
    </row>
    <row r="28" spans="1:16" ht="14.4" customHeight="1" x14ac:dyDescent="0.3">
      <c r="C28" s="83" t="s">
        <v>484</v>
      </c>
      <c r="D28" s="84"/>
      <c r="E28" s="84"/>
      <c r="F28" s="84"/>
      <c r="G28" s="84"/>
      <c r="H28" s="84"/>
      <c r="I28" s="84"/>
      <c r="J28" s="84"/>
      <c r="K28" s="84"/>
      <c r="L28" s="86">
        <f>L24+L25-L26-L27</f>
        <v>1262.737165436838</v>
      </c>
      <c r="M28" s="86">
        <f>M24+M25-M26-M27</f>
        <v>4132.8277098297349</v>
      </c>
      <c r="N28" s="86">
        <f>N24+N25-N26-N27</f>
        <v>6195.0764143017841</v>
      </c>
      <c r="O28" s="86">
        <f>O24+O25-O26-O27</f>
        <v>9431.3702082048403</v>
      </c>
      <c r="P28" s="86">
        <f>P24+P25-P26-P27</f>
        <v>10814.999874987327</v>
      </c>
    </row>
    <row r="29" spans="1:16" ht="14.4" customHeight="1" x14ac:dyDescent="0.3">
      <c r="C29" s="303" t="s">
        <v>488</v>
      </c>
      <c r="D29" s="297"/>
      <c r="E29" s="297"/>
      <c r="F29" s="68">
        <v>27546</v>
      </c>
    </row>
    <row r="30" spans="1:16" ht="14.4" customHeight="1" x14ac:dyDescent="0.3">
      <c r="C30" s="303" t="s">
        <v>489</v>
      </c>
      <c r="D30" s="297"/>
      <c r="E30" s="297"/>
      <c r="F30" s="68">
        <v>7615</v>
      </c>
    </row>
    <row r="31" spans="1:16" ht="4.95" customHeight="1" x14ac:dyDescent="0.3">
      <c r="C31" s="1"/>
      <c r="D31" s="1"/>
      <c r="E31" s="1"/>
      <c r="F31" s="4"/>
    </row>
    <row r="32" spans="1:16" ht="16.95" customHeight="1" x14ac:dyDescent="0.3">
      <c r="A32" s="24" t="s">
        <v>490</v>
      </c>
      <c r="B32" s="25"/>
      <c r="C32" s="25"/>
      <c r="D32" s="25"/>
      <c r="E32" s="25"/>
      <c r="F32" s="25"/>
      <c r="G32" s="25"/>
      <c r="H32" s="25"/>
      <c r="I32" s="25"/>
      <c r="J32" s="25"/>
      <c r="K32" s="25"/>
      <c r="L32" s="25"/>
      <c r="M32" s="25"/>
      <c r="N32" s="25"/>
      <c r="O32" s="25"/>
      <c r="P32" s="25"/>
    </row>
    <row r="33" spans="1:16" ht="14.4" customHeight="1" x14ac:dyDescent="0.3">
      <c r="C33" s="23" t="s">
        <v>491</v>
      </c>
      <c r="F33" s="70">
        <f>P28</f>
        <v>10814.999874987327</v>
      </c>
      <c r="P33" s="9"/>
    </row>
    <row r="34" spans="1:16" ht="14.4" customHeight="1" x14ac:dyDescent="0.3">
      <c r="C34" s="23" t="s">
        <v>146</v>
      </c>
      <c r="F34" s="189">
        <f>F18</f>
        <v>3.7999999999999999E-2</v>
      </c>
    </row>
    <row r="35" spans="1:16" s="12" customFormat="1" ht="14.4" customHeight="1" x14ac:dyDescent="0.3">
      <c r="A35" s="10"/>
      <c r="B35" s="11"/>
      <c r="C35" s="190" t="s">
        <v>36</v>
      </c>
      <c r="D35" s="11"/>
      <c r="E35" s="11"/>
      <c r="F35" s="191">
        <f>F17</f>
        <v>0.12380655725023622</v>
      </c>
      <c r="G35" s="11"/>
      <c r="H35" s="11"/>
      <c r="I35" s="11"/>
      <c r="J35" s="11"/>
      <c r="K35" s="11"/>
      <c r="L35" s="11"/>
      <c r="M35" s="11"/>
      <c r="N35" s="11"/>
      <c r="O35" s="11"/>
      <c r="P35" s="11"/>
    </row>
    <row r="36" spans="1:16" ht="14.4" customHeight="1" x14ac:dyDescent="0.3">
      <c r="C36" s="23" t="s">
        <v>492</v>
      </c>
      <c r="F36" s="70">
        <f>F33*(1+F34)</f>
        <v>11225.969870236846</v>
      </c>
      <c r="L36" s="6"/>
      <c r="M36" s="7"/>
      <c r="N36" s="7"/>
      <c r="O36" s="7"/>
      <c r="P36" s="7"/>
    </row>
    <row r="37" spans="1:16" ht="14.4" customHeight="1" x14ac:dyDescent="0.3">
      <c r="C37" s="83" t="s">
        <v>493</v>
      </c>
      <c r="D37" s="84"/>
      <c r="E37" s="84"/>
      <c r="F37" s="192">
        <f>F36/(F35-F34)</f>
        <v>130828.81110704324</v>
      </c>
      <c r="G37" s="84"/>
      <c r="H37" s="84"/>
      <c r="I37" s="84"/>
      <c r="J37" s="84"/>
      <c r="K37" s="84"/>
      <c r="L37" s="193"/>
      <c r="M37" s="193"/>
      <c r="N37" s="193"/>
      <c r="O37" s="193"/>
      <c r="P37" s="193"/>
    </row>
    <row r="38" spans="1:16" ht="4.95" customHeight="1" x14ac:dyDescent="0.3"/>
    <row r="39" spans="1:16" ht="16.95" customHeight="1" x14ac:dyDescent="0.3">
      <c r="A39" s="24" t="s">
        <v>494</v>
      </c>
      <c r="B39" s="25"/>
      <c r="C39" s="25"/>
      <c r="D39" s="25"/>
      <c r="E39" s="25"/>
      <c r="F39" s="25"/>
      <c r="G39" s="25"/>
      <c r="H39" s="25"/>
      <c r="I39" s="25"/>
      <c r="J39" s="25"/>
      <c r="K39" s="25"/>
      <c r="L39" s="25"/>
      <c r="M39" s="25"/>
      <c r="N39" s="25"/>
      <c r="O39" s="25"/>
      <c r="P39" s="25"/>
    </row>
    <row r="40" spans="1:16" ht="14.4" customHeight="1" x14ac:dyDescent="0.3">
      <c r="C40" s="23" t="s">
        <v>495</v>
      </c>
      <c r="L40" s="194">
        <v>1</v>
      </c>
      <c r="M40" s="195">
        <f>L40+1</f>
        <v>2</v>
      </c>
      <c r="N40" s="195">
        <f>M40+1</f>
        <v>3</v>
      </c>
      <c r="O40" s="195">
        <f>N40+1</f>
        <v>4</v>
      </c>
      <c r="P40" s="195">
        <f>O40+1</f>
        <v>5</v>
      </c>
    </row>
    <row r="41" spans="1:16" ht="14.4" customHeight="1" x14ac:dyDescent="0.3">
      <c r="C41" s="23" t="s">
        <v>496</v>
      </c>
      <c r="L41" s="196">
        <f>1/(1+$F$17)^L40</f>
        <v>0.88983285739747786</v>
      </c>
      <c r="M41" s="196">
        <f>1/(1+$F$17)^M40</f>
        <v>0.79180251410416014</v>
      </c>
      <c r="N41" s="196">
        <f>1/(1+$F$17)^N40</f>
        <v>0.70457189361981154</v>
      </c>
      <c r="O41" s="196">
        <f>1/(1+$F$17)^O40</f>
        <v>0.6269512213416687</v>
      </c>
      <c r="P41" s="197">
        <f>1/(1+$F$17)^P40</f>
        <v>0.55788179673529559</v>
      </c>
    </row>
    <row r="42" spans="1:16" ht="4.95" customHeight="1" x14ac:dyDescent="0.3">
      <c r="C42" s="2"/>
      <c r="K42" s="9"/>
    </row>
    <row r="43" spans="1:16" ht="16.95" customHeight="1" x14ac:dyDescent="0.3">
      <c r="A43" s="24" t="s">
        <v>497</v>
      </c>
      <c r="B43" s="25"/>
      <c r="C43" s="25"/>
      <c r="D43" s="25"/>
      <c r="E43" s="25"/>
      <c r="F43" s="25"/>
      <c r="G43" s="25"/>
      <c r="H43" s="25"/>
      <c r="I43" s="25"/>
      <c r="J43" s="25"/>
      <c r="K43" s="25"/>
      <c r="L43" s="25"/>
      <c r="M43" s="25"/>
      <c r="N43" s="25"/>
      <c r="O43" s="25"/>
      <c r="P43" s="25"/>
    </row>
    <row r="44" spans="1:16" ht="14.4" customHeight="1" x14ac:dyDescent="0.3">
      <c r="C44" s="23" t="s">
        <v>498</v>
      </c>
      <c r="L44" s="70">
        <f>L28*L41</f>
        <v>1123.6250200626532</v>
      </c>
      <c r="M44" s="70">
        <f>M28*M41</f>
        <v>3272.3833710025224</v>
      </c>
      <c r="N44" s="70">
        <f>N28*N41</f>
        <v>4364.8767203440402</v>
      </c>
      <c r="O44" s="70">
        <f>O28*O41</f>
        <v>5913.0090709594524</v>
      </c>
      <c r="P44" s="70">
        <f>P28*P41</f>
        <v>6033.491561949927</v>
      </c>
    </row>
    <row r="45" spans="1:16" s="12" customFormat="1" ht="14.4" customHeight="1" x14ac:dyDescent="0.3">
      <c r="A45" s="10"/>
      <c r="B45" s="11"/>
      <c r="C45" s="190" t="s">
        <v>499</v>
      </c>
      <c r="D45" s="11"/>
      <c r="E45" s="11"/>
      <c r="F45" s="11"/>
      <c r="G45" s="11"/>
      <c r="H45" s="11"/>
      <c r="I45" s="11"/>
      <c r="J45" s="11"/>
      <c r="K45" s="198">
        <f>F37*P41</f>
        <v>72987.012205139879</v>
      </c>
      <c r="L45" s="11"/>
      <c r="M45" s="11"/>
      <c r="N45" s="11"/>
      <c r="O45" s="11"/>
    </row>
    <row r="46" spans="1:16" ht="14.4" customHeight="1" x14ac:dyDescent="0.3">
      <c r="C46" s="83" t="s">
        <v>497</v>
      </c>
      <c r="D46" s="84"/>
      <c r="E46" s="84"/>
      <c r="F46" s="84"/>
      <c r="G46" s="84"/>
      <c r="H46" s="84"/>
      <c r="I46" s="84"/>
      <c r="J46" s="84"/>
      <c r="K46" s="199">
        <f>SUM(L44:P44,K45)</f>
        <v>93694.397949458478</v>
      </c>
      <c r="L46" s="84"/>
      <c r="M46" s="84"/>
      <c r="N46" s="84"/>
      <c r="O46" s="84"/>
      <c r="P46" s="84"/>
    </row>
    <row r="47" spans="1:16" ht="14.4" customHeight="1" x14ac:dyDescent="0.3">
      <c r="C47" s="23" t="s">
        <v>500</v>
      </c>
      <c r="K47" s="78">
        <f>K45/K46</f>
        <v>0.77899014031245739</v>
      </c>
    </row>
    <row r="48" spans="1:16" ht="16.95" customHeight="1" x14ac:dyDescent="0.3">
      <c r="A48" s="24" t="s">
        <v>501</v>
      </c>
      <c r="B48" s="25"/>
      <c r="C48" s="25"/>
      <c r="D48" s="25"/>
      <c r="E48" s="25"/>
      <c r="F48" s="25"/>
      <c r="G48" s="25"/>
      <c r="H48" s="25"/>
      <c r="I48" s="25"/>
      <c r="J48" s="25"/>
      <c r="K48" s="25"/>
      <c r="L48" s="25"/>
      <c r="M48" s="25"/>
      <c r="N48" s="25"/>
      <c r="O48" s="25"/>
      <c r="P48" s="25"/>
    </row>
    <row r="49" spans="1:16" s="12" customFormat="1" ht="14.4" customHeight="1" x14ac:dyDescent="0.3">
      <c r="A49" s="10"/>
      <c r="B49" s="11"/>
      <c r="C49" s="190" t="s">
        <v>502</v>
      </c>
      <c r="D49" s="11"/>
      <c r="E49" s="11"/>
      <c r="F49" s="11"/>
      <c r="G49" s="11"/>
      <c r="H49" s="11"/>
      <c r="I49" s="11"/>
      <c r="J49" s="11"/>
      <c r="K49" s="200">
        <v>44059</v>
      </c>
      <c r="L49" s="11"/>
      <c r="M49" s="11"/>
      <c r="N49" s="11"/>
      <c r="O49" s="11"/>
      <c r="P49" s="11"/>
    </row>
    <row r="50" spans="1:16" ht="14.4" customHeight="1" x14ac:dyDescent="0.3">
      <c r="C50" s="23" t="s">
        <v>503</v>
      </c>
      <c r="K50" s="46">
        <f>'Loans &amp; Other Income'!K8</f>
        <v>8376</v>
      </c>
    </row>
    <row r="51" spans="1:16" ht="14.4" customHeight="1" x14ac:dyDescent="0.3">
      <c r="C51" s="23" t="s">
        <v>504</v>
      </c>
      <c r="K51" s="201">
        <f>BS!K32</f>
        <v>728</v>
      </c>
    </row>
    <row r="52" spans="1:16" ht="14.4" customHeight="1" x14ac:dyDescent="0.3">
      <c r="C52" s="83" t="s">
        <v>505</v>
      </c>
      <c r="D52" s="84"/>
      <c r="E52" s="84"/>
      <c r="F52" s="84"/>
      <c r="G52" s="84"/>
      <c r="H52" s="84"/>
      <c r="I52" s="84"/>
      <c r="J52" s="84"/>
      <c r="K52" s="199">
        <f>K46+K49-K50-K51</f>
        <v>128649.39794945848</v>
      </c>
      <c r="L52" s="84"/>
      <c r="M52" s="84"/>
      <c r="N52" s="84"/>
      <c r="O52" s="84"/>
      <c r="P52" s="84"/>
    </row>
    <row r="53" spans="1:16" ht="4.95" customHeight="1" x14ac:dyDescent="0.3">
      <c r="C53" s="2"/>
      <c r="K53" s="5"/>
    </row>
    <row r="54" spans="1:16" ht="16.95" customHeight="1" x14ac:dyDescent="0.3">
      <c r="A54" s="24" t="s">
        <v>506</v>
      </c>
      <c r="B54" s="25"/>
      <c r="C54" s="25"/>
      <c r="D54" s="25"/>
      <c r="E54" s="25"/>
      <c r="F54" s="25"/>
      <c r="G54" s="25"/>
      <c r="H54" s="25"/>
      <c r="I54" s="25"/>
      <c r="J54" s="25"/>
      <c r="K54" s="25"/>
      <c r="L54" s="25"/>
      <c r="M54" s="25"/>
      <c r="N54" s="25"/>
      <c r="O54" s="25"/>
      <c r="P54" s="25"/>
    </row>
    <row r="55" spans="1:16" ht="14.4" customHeight="1" x14ac:dyDescent="0.3">
      <c r="C55" s="23" t="s">
        <v>858</v>
      </c>
      <c r="K55" s="49">
        <f>Assumptions!G57</f>
        <v>3950</v>
      </c>
    </row>
    <row r="56" spans="1:16" ht="14.4" customHeight="1" x14ac:dyDescent="0.3">
      <c r="C56" s="83" t="s">
        <v>507</v>
      </c>
      <c r="D56" s="84"/>
      <c r="E56" s="84"/>
      <c r="F56" s="84"/>
      <c r="G56" s="84"/>
      <c r="H56" s="84"/>
      <c r="I56" s="84"/>
      <c r="J56" s="84"/>
      <c r="K56" s="202">
        <f>K52/K55</f>
        <v>32.569467835305943</v>
      </c>
      <c r="L56" s="84"/>
      <c r="M56" s="84"/>
      <c r="N56" s="84"/>
      <c r="O56" s="84"/>
      <c r="P56" s="84"/>
    </row>
    <row r="57" spans="1:16" ht="14.4" customHeight="1" x14ac:dyDescent="0.3">
      <c r="C57" s="23" t="s">
        <v>508</v>
      </c>
      <c r="K57" s="203">
        <f>Assumptions!G56</f>
        <v>376.37</v>
      </c>
    </row>
    <row r="58" spans="1:16" ht="14.4" customHeight="1" x14ac:dyDescent="0.3">
      <c r="C58" s="23" t="s">
        <v>509</v>
      </c>
      <c r="K58" s="78">
        <f>K56/K57-1</f>
        <v>-0.91346422978636466</v>
      </c>
    </row>
    <row r="59" spans="1:16" ht="15" customHeight="1" x14ac:dyDescent="0.3">
      <c r="C59" s="358" t="s">
        <v>510</v>
      </c>
      <c r="D59" s="297"/>
      <c r="E59" s="297"/>
      <c r="F59" s="297"/>
      <c r="G59" s="297"/>
      <c r="H59" s="297"/>
      <c r="I59" s="297"/>
      <c r="J59" s="297"/>
      <c r="K59" s="297"/>
      <c r="L59" s="297"/>
      <c r="M59" s="297"/>
      <c r="N59" s="297"/>
      <c r="O59" s="297"/>
      <c r="P59" s="297"/>
    </row>
    <row r="60" spans="1:16" ht="16.95" customHeight="1" x14ac:dyDescent="0.3">
      <c r="A60" s="24" t="s">
        <v>511</v>
      </c>
      <c r="B60" s="25"/>
      <c r="C60" s="25"/>
      <c r="D60" s="25"/>
      <c r="E60" s="25"/>
      <c r="F60" s="25"/>
      <c r="G60" s="25"/>
      <c r="H60" s="25"/>
      <c r="I60" s="25"/>
      <c r="J60" s="25"/>
      <c r="K60" s="25"/>
      <c r="L60" s="25"/>
      <c r="M60" s="25"/>
      <c r="N60" s="25"/>
      <c r="O60" s="25"/>
      <c r="P60" s="25"/>
    </row>
    <row r="61" spans="1:16" ht="15" customHeight="1" x14ac:dyDescent="0.3">
      <c r="A61" s="366" t="s">
        <v>512</v>
      </c>
      <c r="B61" s="297"/>
      <c r="C61" s="297"/>
      <c r="D61" s="297"/>
      <c r="E61" s="297"/>
      <c r="F61" s="297"/>
      <c r="G61" s="297"/>
      <c r="H61" s="297"/>
      <c r="I61" s="297"/>
      <c r="J61" s="297"/>
      <c r="K61" s="297"/>
      <c r="L61" s="297"/>
      <c r="M61" s="297"/>
      <c r="N61" s="297"/>
      <c r="O61" s="297"/>
      <c r="P61" s="297"/>
    </row>
    <row r="62" spans="1:16" ht="16.95" customHeight="1" x14ac:dyDescent="0.3">
      <c r="A62" s="24"/>
      <c r="B62" s="25"/>
      <c r="C62" s="150" t="s">
        <v>513</v>
      </c>
      <c r="D62" s="25"/>
      <c r="E62" s="25"/>
      <c r="F62" s="25"/>
      <c r="G62" s="25"/>
      <c r="H62" s="25"/>
      <c r="I62" s="25"/>
      <c r="J62" s="204"/>
      <c r="K62" s="25"/>
      <c r="L62" s="205"/>
      <c r="M62" s="25"/>
      <c r="N62" s="25"/>
      <c r="O62" s="25"/>
      <c r="P62" s="25"/>
    </row>
    <row r="63" spans="1:16" ht="13.95" customHeight="1" x14ac:dyDescent="0.3">
      <c r="J63" s="206" t="s">
        <v>514</v>
      </c>
      <c r="K63" s="13"/>
      <c r="L63" s="365" t="s">
        <v>515</v>
      </c>
      <c r="M63" s="297"/>
      <c r="N63" s="297"/>
      <c r="O63" s="297"/>
      <c r="P63" s="297"/>
    </row>
    <row r="64" spans="1:16" ht="16.95" customHeight="1" x14ac:dyDescent="0.3">
      <c r="K64" s="207">
        <f>K46</f>
        <v>93694.397949458478</v>
      </c>
      <c r="L64" s="208">
        <f>$F$18-0.01</f>
        <v>2.7999999999999997E-2</v>
      </c>
      <c r="M64" s="208">
        <f>$F$18-0.005</f>
        <v>3.3000000000000002E-2</v>
      </c>
      <c r="N64" s="208">
        <f>$F$18</f>
        <v>3.7999999999999999E-2</v>
      </c>
      <c r="O64" s="208">
        <f>$F$18+0.005</f>
        <v>4.2999999999999997E-2</v>
      </c>
      <c r="P64" s="208">
        <f>$F$18+0.01</f>
        <v>4.8000000000000001E-2</v>
      </c>
    </row>
    <row r="65" spans="1:16" ht="15" customHeight="1" x14ac:dyDescent="0.3">
      <c r="C65" s="209" t="s">
        <v>516</v>
      </c>
      <c r="K65" s="210">
        <f>$F$17-0.02</f>
        <v>0.10380655725023621</v>
      </c>
      <c r="L65" s="211">
        <f>(L$28/(1+$K65)^L$40+M$28/(1+$K65)^M$40+N$28/(1+$K65)^N$40+O$28/(1+$K65)^O$40+P$28/(1+$K65)^P$40+(P$28*(1+L$64)/($K65-L$64))/(1+$K65)^P$40)</f>
        <v>111601.260722437</v>
      </c>
      <c r="M65" s="211">
        <f>(L$28/(1+$K65)^L$40+M$28/(1+$K65)^M$40+N$28/(1+$K65)^N$40+O$28/(1+$K65)^O$40+P$28/(1+$K65)^P$40+(P$28*(1+M$64)/($K65-M$64))/(1+$K65)^P$40)</f>
        <v>118387.73788536174</v>
      </c>
      <c r="N65" s="211">
        <f>(L$28/(1+$K65)^L$40+M$28/(1+$K65)^M$40+N$28/(1+$K65)^N$40+O$28/(1+$K65)^O$40+P$28/(1+$K65)^P$40+(P$28*(1+N$64)/($K65-N$64))/(1+$K65)^P$40)</f>
        <v>126205.49178521083</v>
      </c>
      <c r="O65" s="211">
        <f>(L$28/(1+$K65)^L$40+M$28/(1+$K65)^M$40+N$28/(1+$K65)^N$40+O$28/(1+$K65)^O$40+P$28/(1+$K65)^P$40+(P$28*(1+O$64)/($K65-O$64))/(1+$K65)^P$40)</f>
        <v>135308.92181167839</v>
      </c>
      <c r="P65" s="211">
        <f>(L$28/(1+$K65)^L$40+M$28/(1+$K65)^M$40+N$28/(1+$K65)^N$40+O$28/(1+$K65)^O$40+P$28/(1+$K65)^P$40+(P$28*(1+P$64)/($K65-P$64))/(1+$K65)^P$40)</f>
        <v>146043.59921749035</v>
      </c>
    </row>
    <row r="66" spans="1:16" ht="15" customHeight="1" x14ac:dyDescent="0.3">
      <c r="C66" s="27" t="s">
        <v>517</v>
      </c>
      <c r="D66" s="22"/>
      <c r="E66" s="22"/>
      <c r="F66" s="29">
        <f>K56</f>
        <v>32.569467835305943</v>
      </c>
      <c r="K66" s="210">
        <f>$F$17-0.01</f>
        <v>0.11380655725023622</v>
      </c>
      <c r="L66" s="211">
        <f>(L$28/(1+$K66)^L$40+M$28/(1+$K66)^M$40+N$28/(1+$K66)^N$40+O$28/(1+$K66)^O$40+P$28/(1+$K66)^P$40+(P$28*(1+L$64)/($K66-L$64))/(1+$K66)^P$40)</f>
        <v>96973.666927759739</v>
      </c>
      <c r="M66" s="211">
        <f>(L$28/(1+$K66)^L$40+M$28/(1+$K66)^M$40+N$28/(1+$K66)^N$40+O$28/(1+$K66)^O$40+P$28/(1+$K66)^P$40+(P$28*(1+M$64)/($K66-M$64))/(1+$K66)^P$40)</f>
        <v>102041.1272871868</v>
      </c>
      <c r="N66" s="211">
        <f>(L$28/(1+$K66)^L$40+M$28/(1+$K66)^M$40+N$28/(1+$K66)^N$40+O$28/(1+$K66)^O$40+P$28/(1+$K66)^P$40+(P$28*(1+N$64)/($K66-N$64))/(1+$K66)^P$40)</f>
        <v>107777.06020931047</v>
      </c>
      <c r="O66" s="211">
        <f>(L$28/(1+$K66)^L$40+M$28/(1+$K66)^M$40+N$28/(1+$K66)^N$40+O$28/(1+$K66)^O$40+P$28/(1+$K66)^P$40+(P$28*(1+O$64)/($K66-O$64))/(1+$K66)^P$40)</f>
        <v>114323.0781214234</v>
      </c>
      <c r="P66" s="211">
        <f>(L$28/(1+$K66)^L$40+M$28/(1+$K66)^M$40+N$28/(1+$K66)^N$40+O$28/(1+$K66)^O$40+P$28/(1+$K66)^P$40+(P$28*(1+P$64)/($K66-P$64))/(1+$K66)^P$40)</f>
        <v>121863.83245276907</v>
      </c>
    </row>
    <row r="67" spans="1:16" ht="15" customHeight="1" x14ac:dyDescent="0.3">
      <c r="C67" s="27" t="s">
        <v>518</v>
      </c>
      <c r="D67" s="22"/>
      <c r="E67" s="22"/>
      <c r="F67" s="29">
        <f>MIN(L74:P78)</f>
        <v>26.18457419640416</v>
      </c>
      <c r="K67" s="210">
        <f>$F$17</f>
        <v>0.12380655725023622</v>
      </c>
      <c r="L67" s="211">
        <f>(L$28/(1+$K67)^L$40+M$28/(1+$K67)^M$40+N$28/(1+$K67)^N$40+O$28/(1+$K67)^O$40+P$28/(1+$K67)^P$40+(P$28*(1+L$64)/($K67-L$64))/(1+$K67)^P$40)</f>
        <v>85446.475674086774</v>
      </c>
      <c r="M67" s="211">
        <f>(L$28/(1+$K67)^L$40+M$28/(1+$K67)^M$40+N$28/(1+$K67)^N$40+O$28/(1+$K67)^O$40+P$28/(1+$K67)^P$40+(P$28*(1+M$64)/($K67-M$64))/(1+$K67)^P$40)</f>
        <v>89343.362839222304</v>
      </c>
      <c r="N67" s="212">
        <f>(L$28/(1+$K67)^L$40+M$28/(1+$K67)^M$40+N$28/(1+$K67)^N$40+O$28/(1+$K67)^O$40+P$28/(1+$K67)^P$40+(P$28*(1+N$64)/($K67-N$64))/(1+$K67)^P$40)</f>
        <v>93694.397949458478</v>
      </c>
      <c r="O67" s="211">
        <f>(L$28/(1+$K67)^L$40+M$28/(1+$K67)^M$40+N$28/(1+$K67)^N$40+O$28/(1+$K67)^O$40+P$28/(1+$K67)^P$40+(P$28*(1+O$64)/($K67-O$64))/(1+$K67)^P$40)</f>
        <v>98583.883806551996</v>
      </c>
      <c r="P67" s="211">
        <f>(L$28/(1+$K67)^L$40+M$28/(1+$K67)^M$40+N$28/(1+$K67)^N$40+O$28/(1+$K67)^O$40+P$28/(1+$K67)^P$40+(P$28*(1+P$64)/($K67-P$64))/(1+$K67)^P$40)</f>
        <v>104118.36477151643</v>
      </c>
    </row>
    <row r="68" spans="1:16" ht="15" customHeight="1" x14ac:dyDescent="0.3">
      <c r="C68" s="27" t="s">
        <v>519</v>
      </c>
      <c r="D68" s="22"/>
      <c r="E68" s="22"/>
      <c r="F68" s="29">
        <f>MAX(L74:P78)</f>
        <v>45.822430181643128</v>
      </c>
      <c r="K68" s="210">
        <f>$F$17+0.01</f>
        <v>0.13380655725023621</v>
      </c>
      <c r="L68" s="211">
        <f>(L$28/(1+$K68)^L$40+M$28/(1+$K68)^M$40+N$28/(1+$K68)^N$40+O$28/(1+$K68)^O$40+P$28/(1+$K68)^P$40+(P$28*(1+L$64)/($K68-L$64))/(1+$K68)^P$40)</f>
        <v>76138.790773551969</v>
      </c>
      <c r="M68" s="211">
        <f>(L$28/(1+$K68)^L$40+M$28/(1+$K68)^M$40+N$28/(1+$K68)^N$40+O$28/(1+$K68)^O$40+P$28/(1+$K68)^P$40+(P$28*(1+M$64)/($K68-M$64))/(1+$K68)^P$40)</f>
        <v>79206.677350399725</v>
      </c>
      <c r="N68" s="211">
        <f>(L$28/(1+$K68)^L$40+M$28/(1+$K68)^M$40+N$28/(1+$K68)^N$40+O$28/(1+$K68)^O$40+P$28/(1+$K68)^P$40+(P$28*(1+N$64)/($K68-N$64))/(1+$K68)^P$40)</f>
        <v>82594.780691621432</v>
      </c>
      <c r="O68" s="211">
        <f>(L$28/(1+$K68)^L$40+M$28/(1+$K68)^M$40+N$28/(1+$K68)^N$40+O$28/(1+$K68)^O$40+P$28/(1+$K68)^P$40+(P$28*(1+O$64)/($K68-O$64))/(1+$K68)^P$40)</f>
        <v>86355.996222515183</v>
      </c>
      <c r="P68" s="211">
        <f>(L$28/(1+$K68)^L$40+M$28/(1+$K68)^M$40+N$28/(1+$K68)^N$40+O$28/(1+$K68)^O$40+P$28/(1+$K68)^P$40+(P$28*(1+P$64)/($K68-P$64))/(1+$K68)^P$40)</f>
        <v>90555.548362104833</v>
      </c>
    </row>
    <row r="69" spans="1:16" ht="15" customHeight="1" x14ac:dyDescent="0.3">
      <c r="C69" s="27" t="s">
        <v>520</v>
      </c>
      <c r="D69" s="22"/>
      <c r="E69" s="22"/>
      <c r="F69" s="213">
        <f>MAX(L74:P78)/G87-1</f>
        <v>-0.87825164019012369</v>
      </c>
      <c r="K69" s="210">
        <f>$F$17+0.02</f>
        <v>0.14380655725023622</v>
      </c>
      <c r="L69" s="211">
        <f>(L$28/(1+$K69)^L$40+M$28/(1+$K69)^M$40+N$28/(1+$K69)^N$40+O$28/(1+$K69)^O$40+P$28/(1+$K69)^P$40+(P$28*(1+L$64)/($K69-L$64))/(1+$K69)^P$40)</f>
        <v>68474.068075796429</v>
      </c>
      <c r="M69" s="211">
        <f>(L$28/(1+$K69)^L$40+M$28/(1+$K69)^M$40+N$28/(1+$K69)^N$40+O$28/(1+$K69)^O$40+P$28/(1+$K69)^P$40+(P$28*(1+M$64)/($K69-M$64))/(1+$K69)^P$40)</f>
        <v>70936.065435070297</v>
      </c>
      <c r="N69" s="211">
        <f>(L$28/(1+$K69)^L$40+M$28/(1+$K69)^M$40+N$28/(1+$K69)^N$40+O$28/(1+$K69)^O$40+P$28/(1+$K69)^P$40+(P$28*(1+N$64)/($K69-N$64))/(1+$K69)^P$40)</f>
        <v>73630.751336836969</v>
      </c>
      <c r="O69" s="211">
        <f>(L$28/(1+$K69)^L$40+M$28/(1+$K69)^M$40+N$28/(1+$K69)^N$40+O$28/(1+$K69)^O$40+P$28/(1+$K69)^P$40+(P$28*(1+O$64)/($K69-O$64))/(1+$K69)^P$40)</f>
        <v>76592.749799936064</v>
      </c>
      <c r="P69" s="211">
        <f>(L$28/(1+$K69)^L$40+M$28/(1+$K69)^M$40+N$28/(1+$K69)^N$40+O$28/(1+$K69)^O$40+P$28/(1+$K69)^P$40+(P$28*(1+P$64)/($K69-P$64))/(1+$K69)^P$40)</f>
        <v>79863.912744894493</v>
      </c>
    </row>
    <row r="70" spans="1:16" ht="7.95" customHeight="1" x14ac:dyDescent="0.3"/>
    <row r="71" spans="1:16" ht="16.95" customHeight="1" x14ac:dyDescent="0.3">
      <c r="A71" s="24"/>
      <c r="B71" s="25"/>
      <c r="C71" s="150" t="s">
        <v>521</v>
      </c>
      <c r="D71" s="25"/>
      <c r="E71" s="25"/>
      <c r="F71" s="25"/>
      <c r="G71" s="25"/>
      <c r="H71" s="25"/>
      <c r="I71" s="25"/>
      <c r="J71" s="25"/>
      <c r="K71" s="25"/>
      <c r="L71" s="25"/>
      <c r="M71" s="25"/>
      <c r="N71" s="25"/>
      <c r="O71" s="25"/>
      <c r="P71" s="25"/>
    </row>
    <row r="72" spans="1:16" ht="13.95" customHeight="1" x14ac:dyDescent="0.3">
      <c r="J72" s="214" t="s">
        <v>514</v>
      </c>
      <c r="K72" s="8"/>
      <c r="L72" s="359" t="s">
        <v>515</v>
      </c>
      <c r="M72" s="297"/>
      <c r="N72" s="297"/>
      <c r="O72" s="297"/>
      <c r="P72" s="297"/>
    </row>
    <row r="73" spans="1:16" ht="16.95" customHeight="1" x14ac:dyDescent="0.3">
      <c r="C73" s="209" t="s">
        <v>522</v>
      </c>
      <c r="K73" s="215">
        <f>K56</f>
        <v>32.569467835305943</v>
      </c>
      <c r="L73" s="208">
        <f>L64</f>
        <v>2.7999999999999997E-2</v>
      </c>
      <c r="M73" s="208">
        <f>M64</f>
        <v>3.3000000000000002E-2</v>
      </c>
      <c r="N73" s="208">
        <f>N64</f>
        <v>3.7999999999999999E-2</v>
      </c>
      <c r="O73" s="208">
        <f>O64</f>
        <v>4.2999999999999997E-2</v>
      </c>
      <c r="P73" s="208">
        <f>P64</f>
        <v>4.8000000000000001E-2</v>
      </c>
    </row>
    <row r="74" spans="1:16" ht="15" customHeight="1" x14ac:dyDescent="0.3">
      <c r="C74" s="27" t="s">
        <v>523</v>
      </c>
      <c r="D74" s="22"/>
      <c r="E74" s="22"/>
      <c r="F74" s="216" t="s">
        <v>524</v>
      </c>
      <c r="K74" s="210">
        <f>K65</f>
        <v>0.10380655725023621</v>
      </c>
      <c r="L74" s="217">
        <f t="shared" ref="L74:P78" si="0">(L65+$K$49-$K$50-$K$51)/$K$55</f>
        <v>37.102850815806839</v>
      </c>
      <c r="M74" s="217">
        <f t="shared" si="0"/>
        <v>38.820946300091578</v>
      </c>
      <c r="N74" s="217">
        <f t="shared" si="0"/>
        <v>40.800124502585028</v>
      </c>
      <c r="O74" s="217">
        <f t="shared" si="0"/>
        <v>43.104790332070479</v>
      </c>
      <c r="P74" s="217">
        <f t="shared" si="0"/>
        <v>45.822430181643128</v>
      </c>
    </row>
    <row r="75" spans="1:16" ht="15" customHeight="1" x14ac:dyDescent="0.3">
      <c r="C75" s="27" t="s">
        <v>525</v>
      </c>
      <c r="D75" s="22"/>
      <c r="E75" s="22"/>
      <c r="F75" s="216" t="s">
        <v>526</v>
      </c>
      <c r="K75" s="210">
        <f>K66</f>
        <v>0.11380655725023622</v>
      </c>
      <c r="L75" s="217">
        <f t="shared" si="0"/>
        <v>33.399662513356894</v>
      </c>
      <c r="M75" s="217">
        <f t="shared" si="0"/>
        <v>34.682563870173873</v>
      </c>
      <c r="N75" s="217">
        <f t="shared" si="0"/>
        <v>36.13469878716721</v>
      </c>
      <c r="O75" s="217">
        <f t="shared" si="0"/>
        <v>37.791918511752762</v>
      </c>
      <c r="P75" s="217">
        <f t="shared" si="0"/>
        <v>39.700970241207358</v>
      </c>
    </row>
    <row r="76" spans="1:16" ht="15" customHeight="1" x14ac:dyDescent="0.3">
      <c r="K76" s="210">
        <f>K67</f>
        <v>0.12380655725023622</v>
      </c>
      <c r="L76" s="217">
        <f t="shared" si="0"/>
        <v>30.481386246604245</v>
      </c>
      <c r="M76" s="217">
        <f t="shared" si="0"/>
        <v>31.467939959296785</v>
      </c>
      <c r="N76" s="218">
        <f t="shared" si="0"/>
        <v>32.569467835305943</v>
      </c>
      <c r="O76" s="217">
        <f t="shared" si="0"/>
        <v>33.807312356089106</v>
      </c>
      <c r="P76" s="217">
        <f t="shared" si="0"/>
        <v>35.208446777599093</v>
      </c>
    </row>
    <row r="77" spans="1:16" ht="15" customHeight="1" x14ac:dyDescent="0.3">
      <c r="C77" s="296" t="s">
        <v>527</v>
      </c>
      <c r="D77" s="297"/>
      <c r="E77" s="297"/>
      <c r="F77" s="297"/>
      <c r="G77" s="297"/>
      <c r="H77" s="297"/>
      <c r="I77" s="297"/>
      <c r="K77" s="210">
        <f>K68</f>
        <v>0.13380655725023621</v>
      </c>
      <c r="L77" s="217">
        <f t="shared" si="0"/>
        <v>28.12501032241822</v>
      </c>
      <c r="M77" s="217">
        <f t="shared" si="0"/>
        <v>28.901690468455627</v>
      </c>
      <c r="N77" s="217">
        <f t="shared" si="0"/>
        <v>29.759438149777576</v>
      </c>
      <c r="O77" s="217">
        <f t="shared" si="0"/>
        <v>30.711644613294983</v>
      </c>
      <c r="P77" s="217">
        <f t="shared" si="0"/>
        <v>31.774822370153121</v>
      </c>
    </row>
    <row r="78" spans="1:16" ht="15" customHeight="1" x14ac:dyDescent="0.3">
      <c r="C78" s="297"/>
      <c r="D78" s="297"/>
      <c r="E78" s="297"/>
      <c r="F78" s="297"/>
      <c r="G78" s="297"/>
      <c r="H78" s="297"/>
      <c r="I78" s="297"/>
      <c r="K78" s="210">
        <f>K69</f>
        <v>0.14380655725023622</v>
      </c>
      <c r="L78" s="217">
        <f t="shared" si="0"/>
        <v>26.18457419640416</v>
      </c>
      <c r="M78" s="217">
        <f t="shared" si="0"/>
        <v>26.807864667106404</v>
      </c>
      <c r="N78" s="217">
        <f t="shared" si="0"/>
        <v>27.49006362957898</v>
      </c>
      <c r="O78" s="217">
        <f t="shared" si="0"/>
        <v>28.239936658211661</v>
      </c>
      <c r="P78" s="217">
        <f t="shared" si="0"/>
        <v>29.068079175922655</v>
      </c>
    </row>
    <row r="79" spans="1:16" ht="7.95" customHeight="1" x14ac:dyDescent="0.3"/>
    <row r="80" spans="1:16" ht="7.95" customHeight="1" x14ac:dyDescent="0.3"/>
    <row r="81" spans="1:16" ht="16.95" customHeight="1" x14ac:dyDescent="0.3">
      <c r="A81" s="350" t="s">
        <v>528</v>
      </c>
      <c r="B81" s="351"/>
      <c r="C81" s="351"/>
      <c r="D81" s="351"/>
      <c r="E81" s="351"/>
      <c r="F81" s="351"/>
      <c r="G81" s="351"/>
      <c r="H81" s="351"/>
      <c r="I81" s="351"/>
      <c r="J81" s="351"/>
      <c r="K81" s="351"/>
      <c r="L81" s="351"/>
      <c r="M81" s="351"/>
      <c r="N81" s="351"/>
      <c r="O81" s="351"/>
      <c r="P81" s="351"/>
    </row>
    <row r="82" spans="1:16" ht="7.95" customHeight="1" x14ac:dyDescent="0.3"/>
    <row r="83" spans="1:16" ht="18" customHeight="1" x14ac:dyDescent="0.3">
      <c r="B83" s="362" t="s">
        <v>44</v>
      </c>
      <c r="C83" s="363"/>
      <c r="D83" s="363"/>
      <c r="E83" s="364" t="s">
        <v>45</v>
      </c>
      <c r="F83" s="363"/>
      <c r="G83" s="364" t="s">
        <v>529</v>
      </c>
      <c r="H83" s="363"/>
      <c r="I83" s="364" t="s">
        <v>47</v>
      </c>
      <c r="J83" s="363"/>
      <c r="K83" s="362" t="s">
        <v>530</v>
      </c>
      <c r="L83" s="363"/>
      <c r="M83" s="363"/>
      <c r="N83" s="363"/>
      <c r="O83" s="363"/>
      <c r="P83" s="363"/>
    </row>
    <row r="84" spans="1:16" ht="16.05" customHeight="1" x14ac:dyDescent="0.3">
      <c r="B84" s="220" t="s">
        <v>531</v>
      </c>
      <c r="C84" s="16"/>
      <c r="D84" s="16"/>
      <c r="E84" s="221">
        <f>MIN(L74:P78)</f>
        <v>26.18457419640416</v>
      </c>
      <c r="F84" s="16"/>
      <c r="G84" s="222">
        <f>K56</f>
        <v>32.569467835305943</v>
      </c>
      <c r="H84" s="16"/>
      <c r="I84" s="221">
        <f>MAX(L74:P78)</f>
        <v>45.822430181643128</v>
      </c>
      <c r="J84" s="16"/>
      <c r="K84" s="326" t="str">
        <f>TEXT(E84,"$0.00")&amp;" - "&amp;TEXT(I84,"$0.00")</f>
        <v>$26.18 - $45.82</v>
      </c>
      <c r="L84" s="369"/>
      <c r="M84" s="369"/>
      <c r="N84" s="1"/>
      <c r="O84" s="1"/>
      <c r="P84" s="1"/>
    </row>
    <row r="85" spans="1:16" ht="16.05" customHeight="1" x14ac:dyDescent="0.3">
      <c r="B85" s="223" t="s">
        <v>532</v>
      </c>
      <c r="C85" s="16"/>
      <c r="D85" s="16"/>
      <c r="E85" s="224">
        <f>'Comparable Companies'!M102</f>
        <v>30.271642257489678</v>
      </c>
      <c r="F85" s="16"/>
      <c r="G85" s="225">
        <f>'Comparable Companies'!M103</f>
        <v>36.783650045080158</v>
      </c>
      <c r="H85" s="16"/>
      <c r="I85" s="224">
        <f>'Comparable Companies'!M104</f>
        <v>51.770476818382775</v>
      </c>
      <c r="J85" s="16"/>
      <c r="K85" s="326" t="str">
        <f>TEXT(E85,"$0.00")&amp;" - "&amp;TEXT(I85,"$0.00")</f>
        <v>$30.27 - $51.77</v>
      </c>
      <c r="L85" s="369"/>
      <c r="M85" s="369"/>
      <c r="N85" s="1"/>
      <c r="O85" s="1"/>
      <c r="P85" s="1"/>
    </row>
    <row r="86" spans="1:16" ht="16.05" customHeight="1" x14ac:dyDescent="0.3">
      <c r="B86" s="223" t="s">
        <v>533</v>
      </c>
      <c r="C86" s="16"/>
      <c r="D86" s="16"/>
      <c r="E86" s="226" t="s">
        <v>438</v>
      </c>
      <c r="F86" s="16"/>
      <c r="G86" s="226" t="s">
        <v>438</v>
      </c>
      <c r="H86" s="16"/>
      <c r="I86" s="226" t="s">
        <v>438</v>
      </c>
      <c r="J86" s="16"/>
      <c r="K86" s="370" t="s">
        <v>534</v>
      </c>
      <c r="L86" s="369"/>
      <c r="M86" s="369"/>
      <c r="N86" s="1"/>
      <c r="O86" s="1"/>
      <c r="P86" s="1"/>
    </row>
    <row r="87" spans="1:16" ht="16.05" customHeight="1" x14ac:dyDescent="0.3">
      <c r="B87" s="227" t="s">
        <v>535</v>
      </c>
      <c r="C87" s="16"/>
      <c r="D87" s="16"/>
      <c r="E87" s="224">
        <f>'Comparable Companies'!D34</f>
        <v>376.37</v>
      </c>
      <c r="F87" s="16"/>
      <c r="G87" s="225">
        <f>'Comparable Companies'!D34</f>
        <v>376.37</v>
      </c>
      <c r="H87" s="16"/>
      <c r="I87" s="224">
        <f>'Comparable Companies'!D34</f>
        <v>376.37</v>
      </c>
      <c r="J87" s="16"/>
      <c r="K87" s="326" t="str">
        <f>TEXT(G87,"$0.00")</f>
        <v>$376.37</v>
      </c>
      <c r="L87" s="369"/>
      <c r="M87" s="369"/>
      <c r="N87" s="1"/>
      <c r="O87" s="1"/>
      <c r="P87" s="1"/>
    </row>
    <row r="88" spans="1:16" ht="7.95" customHeight="1" x14ac:dyDescent="0.3"/>
    <row r="89" spans="1:16" ht="16.05" customHeight="1" x14ac:dyDescent="0.3">
      <c r="B89" s="228" t="s">
        <v>536</v>
      </c>
    </row>
    <row r="90" spans="1:16" ht="22.05" customHeight="1" x14ac:dyDescent="0.3">
      <c r="B90" s="229" t="s">
        <v>44</v>
      </c>
      <c r="C90" s="230" t="s">
        <v>537</v>
      </c>
      <c r="D90" s="230" t="s">
        <v>538</v>
      </c>
      <c r="E90" s="230" t="s">
        <v>539</v>
      </c>
      <c r="F90" s="230" t="s">
        <v>540</v>
      </c>
      <c r="H90" s="230" t="s">
        <v>541</v>
      </c>
      <c r="I90" s="231">
        <v>0.4</v>
      </c>
    </row>
    <row r="91" spans="1:16" ht="13.95" customHeight="1" x14ac:dyDescent="0.3">
      <c r="B91" s="232" t="s">
        <v>542</v>
      </c>
      <c r="C91" s="233">
        <f>E84</f>
        <v>26.18457419640416</v>
      </c>
      <c r="D91" s="233">
        <f>MAX(0,G84-E84-$I$90)</f>
        <v>5.9848936389017826</v>
      </c>
      <c r="E91" s="233">
        <f>$I$90*2</f>
        <v>0.8</v>
      </c>
      <c r="F91" s="233">
        <f>MAX(0,I84-G84-$I$90)</f>
        <v>12.852962346337184</v>
      </c>
    </row>
    <row r="92" spans="1:16" ht="13.95" customHeight="1" x14ac:dyDescent="0.3">
      <c r="B92" s="232" t="s">
        <v>52</v>
      </c>
      <c r="C92" s="233">
        <f>E85</f>
        <v>30.271642257489678</v>
      </c>
      <c r="D92" s="233">
        <f>MAX(0,G85-E85-$I$90)</f>
        <v>6.1120077875904801</v>
      </c>
      <c r="E92" s="233">
        <f>$I$90*2</f>
        <v>0.8</v>
      </c>
      <c r="F92" s="233">
        <f>MAX(0,I85-G85-$I$90)</f>
        <v>14.586826773302617</v>
      </c>
    </row>
    <row r="93" spans="1:16" ht="13.95" customHeight="1" x14ac:dyDescent="0.3">
      <c r="B93" s="232" t="s">
        <v>54</v>
      </c>
      <c r="C93" s="234">
        <v>0</v>
      </c>
      <c r="D93" s="233">
        <f>G87</f>
        <v>376.37</v>
      </c>
      <c r="E93" s="234">
        <v>0</v>
      </c>
      <c r="F93" s="234">
        <v>0</v>
      </c>
    </row>
    <row r="94" spans="1:16" ht="13.95" customHeight="1" x14ac:dyDescent="0.3">
      <c r="B94" s="235" t="s">
        <v>543</v>
      </c>
      <c r="C94" s="18"/>
      <c r="D94" s="18"/>
      <c r="E94" s="18"/>
    </row>
    <row r="96" spans="1:16" ht="16.95" customHeight="1" x14ac:dyDescent="0.3">
      <c r="A96" s="24" t="s">
        <v>544</v>
      </c>
      <c r="B96" s="25"/>
      <c r="C96" s="25"/>
      <c r="D96" s="25"/>
      <c r="E96" s="25"/>
      <c r="F96" s="25"/>
      <c r="G96" s="25"/>
      <c r="H96" s="25"/>
      <c r="I96" s="25"/>
      <c r="J96" s="25"/>
      <c r="K96" s="25"/>
      <c r="L96" s="25"/>
      <c r="M96" s="25"/>
      <c r="N96" s="25"/>
      <c r="O96" s="25"/>
      <c r="P96" s="25"/>
    </row>
    <row r="97" spans="3:16" ht="15" customHeight="1" x14ac:dyDescent="0.3">
      <c r="C97" s="303" t="s">
        <v>545</v>
      </c>
      <c r="D97" s="297"/>
      <c r="E97" s="297"/>
      <c r="F97" s="297"/>
      <c r="G97" s="297"/>
      <c r="H97" s="297"/>
      <c r="I97" s="297"/>
      <c r="J97" s="297"/>
      <c r="K97" s="297"/>
      <c r="L97" s="297"/>
      <c r="M97" s="297"/>
      <c r="N97" s="297"/>
      <c r="O97" s="297"/>
      <c r="P97" s="297"/>
    </row>
    <row r="98" spans="3:16" ht="16.05" customHeight="1" x14ac:dyDescent="0.3">
      <c r="C98" s="209" t="s">
        <v>546</v>
      </c>
    </row>
    <row r="99" spans="3:16" ht="16.95" customHeight="1" x14ac:dyDescent="0.3">
      <c r="C99" s="110" t="s">
        <v>547</v>
      </c>
      <c r="E99" s="111" t="s">
        <v>548</v>
      </c>
      <c r="G99" s="111" t="s">
        <v>549</v>
      </c>
      <c r="I99" s="111" t="s">
        <v>550</v>
      </c>
    </row>
    <row r="100" spans="3:16" ht="14.4" customHeight="1" x14ac:dyDescent="0.3">
      <c r="C100" s="236" t="s">
        <v>551</v>
      </c>
      <c r="E100" s="237">
        <f>IS!$P$29</f>
        <v>29048.635848384351</v>
      </c>
      <c r="G100" s="237">
        <f>IS!$P$29</f>
        <v>29048.635848384351</v>
      </c>
      <c r="I100" s="237">
        <f>IS!$P$29</f>
        <v>29048.635848384351</v>
      </c>
    </row>
    <row r="101" spans="3:16" ht="14.4" customHeight="1" x14ac:dyDescent="0.3">
      <c r="C101" s="236" t="s">
        <v>552</v>
      </c>
      <c r="E101" s="238">
        <f>'Comparable Companies'!M27</f>
        <v>9.8028670909320752</v>
      </c>
      <c r="G101" s="238">
        <f>'Comparable Companies'!M28</f>
        <v>13.044513720116496</v>
      </c>
      <c r="I101" s="238">
        <f>'Comparable Companies'!M29</f>
        <v>17.837090080082653</v>
      </c>
    </row>
    <row r="102" spans="3:16" ht="14.4" customHeight="1" x14ac:dyDescent="0.3">
      <c r="C102" s="236" t="s">
        <v>553</v>
      </c>
      <c r="E102" s="239">
        <f>E100*E101</f>
        <v>284759.91639459669</v>
      </c>
      <c r="G102" s="239">
        <f>G100*G101</f>
        <v>378925.32887491758</v>
      </c>
      <c r="I102" s="239">
        <f>I100*I101</f>
        <v>518143.13433114986</v>
      </c>
    </row>
    <row r="103" spans="3:16" ht="14.4" customHeight="1" x14ac:dyDescent="0.3">
      <c r="C103" s="236" t="s">
        <v>554</v>
      </c>
      <c r="E103" s="240">
        <f>$P$41</f>
        <v>0.55788179673529559</v>
      </c>
      <c r="G103" s="240">
        <f>$P$41</f>
        <v>0.55788179673529559</v>
      </c>
      <c r="I103" s="240">
        <f>$P$41</f>
        <v>0.55788179673529559</v>
      </c>
    </row>
    <row r="104" spans="3:16" ht="14.4" customHeight="1" x14ac:dyDescent="0.3">
      <c r="C104" s="236" t="s">
        <v>555</v>
      </c>
      <c r="E104" s="239">
        <f>E102*E103</f>
        <v>158862.37379641016</v>
      </c>
      <c r="G104" s="239">
        <f>G102*G103</f>
        <v>211395.5433012518</v>
      </c>
      <c r="I104" s="239">
        <f>I102*I103</f>
        <v>289062.62274671951</v>
      </c>
    </row>
    <row r="105" spans="3:16" ht="14.4" customHeight="1" x14ac:dyDescent="0.3">
      <c r="C105" s="236" t="s">
        <v>556</v>
      </c>
      <c r="E105" s="239">
        <f>SUM($L$44:$P$44)</f>
        <v>20707.385744318595</v>
      </c>
      <c r="G105" s="239">
        <f>SUM($L$44:$P$44)</f>
        <v>20707.385744318595</v>
      </c>
      <c r="I105" s="239">
        <f>SUM($L$44:$P$44)</f>
        <v>20707.385744318595</v>
      </c>
    </row>
    <row r="106" spans="3:16" ht="14.4" customHeight="1" x14ac:dyDescent="0.3">
      <c r="C106" s="220" t="s">
        <v>497</v>
      </c>
      <c r="E106" s="241">
        <f>E104+E105</f>
        <v>179569.75954072876</v>
      </c>
      <c r="G106" s="241">
        <f>G104+G105</f>
        <v>232102.9290455704</v>
      </c>
      <c r="I106" s="241">
        <f>I104+I105</f>
        <v>309770.00849103811</v>
      </c>
    </row>
    <row r="107" spans="3:16" ht="14.4" customHeight="1" x14ac:dyDescent="0.3">
      <c r="C107" s="220" t="s">
        <v>505</v>
      </c>
      <c r="E107" s="241">
        <f>E106+$K$49-$K$50-$K$51</f>
        <v>214524.75954072876</v>
      </c>
      <c r="G107" s="241">
        <f>G106+$K$49-$K$50-$K$51</f>
        <v>267057.92904557043</v>
      </c>
      <c r="I107" s="241">
        <f>I106+$K$49-$K$50-$K$51</f>
        <v>344725.00849103811</v>
      </c>
    </row>
    <row r="108" spans="3:16" ht="14.4" customHeight="1" x14ac:dyDescent="0.3">
      <c r="C108" s="220" t="s">
        <v>506</v>
      </c>
      <c r="E108" s="242">
        <f>E107/$K$55</f>
        <v>54.310065706513612</v>
      </c>
      <c r="G108" s="242">
        <f>G107/$K$55</f>
        <v>67.609602290017833</v>
      </c>
      <c r="I108" s="242">
        <f>I107/$K$55</f>
        <v>87.272154048364072</v>
      </c>
    </row>
    <row r="109" spans="3:16" ht="14.1" customHeight="1" x14ac:dyDescent="0.3">
      <c r="C109" s="232" t="s">
        <v>557</v>
      </c>
      <c r="G109" s="243">
        <f>$K$56</f>
        <v>32.569467835305943</v>
      </c>
    </row>
    <row r="110" spans="3:16" ht="14.1" customHeight="1" x14ac:dyDescent="0.3">
      <c r="C110" s="232" t="s">
        <v>558</v>
      </c>
      <c r="G110" s="244">
        <f>(G102*$F$17-$P$28)/(G102+$P$28)</f>
        <v>9.2621773742829649E-2</v>
      </c>
    </row>
    <row r="111" spans="3:16" ht="28.05" customHeight="1" x14ac:dyDescent="0.3">
      <c r="C111" s="296" t="str">
        <f>"The peer-median exit multiple implies a perpetuity growth rate of "&amp;TEXT(G110,"0.0%")&amp;" — far above the "&amp;TEXT($F$18,"0.0%")&amp;_xlfn._LONGTEXT(" terminal growth rate used in the primary DCF and above any defensible long-run nominal growth rate. A trading multiple capitalises current market expectations, so applying one at the end of the forecast re-imports those expectations into the terminal val","ue. That is precisely why Gordon Growth is retained as the primary method and the two results are reported separately rather than averaged.")</f>
        <v>The peer-median exit multiple implies a perpetuity growth rate of 9.3% — far above the 3.8% terminal growth rate used in the primary DCF and above any defensible long-run nominal growth rate. A trading multiple capitalises current market expectations, so applying one at the end of the forecast re-imports those expectations into the terminal value. That is precisely why Gordon Growth is retained as the primary method and the two results are reported separately rather than averaged.</v>
      </c>
      <c r="D111" s="297"/>
      <c r="E111" s="297"/>
      <c r="F111" s="297"/>
      <c r="G111" s="297"/>
      <c r="H111" s="297"/>
      <c r="I111" s="297"/>
      <c r="J111" s="297"/>
      <c r="K111" s="297"/>
      <c r="L111" s="297"/>
      <c r="M111" s="297"/>
      <c r="N111" s="297"/>
      <c r="O111" s="297"/>
      <c r="P111" s="297"/>
    </row>
    <row r="112" spans="3:16" ht="7.95" customHeight="1" x14ac:dyDescent="0.3"/>
    <row r="113" spans="3:16" ht="16.05" customHeight="1" x14ac:dyDescent="0.3">
      <c r="C113" s="209" t="s">
        <v>559</v>
      </c>
    </row>
    <row r="114" spans="3:16" ht="14.1" customHeight="1" x14ac:dyDescent="0.3">
      <c r="C114" s="23" t="s">
        <v>560</v>
      </c>
      <c r="F114" s="245">
        <f>$F$6</f>
        <v>1.85</v>
      </c>
    </row>
    <row r="115" spans="3:16" ht="14.1" customHeight="1" x14ac:dyDescent="0.3">
      <c r="C115" s="23" t="s">
        <v>561</v>
      </c>
      <c r="F115" s="70">
        <f>$F$12</f>
        <v>8376</v>
      </c>
    </row>
    <row r="116" spans="3:16" ht="14.1" customHeight="1" x14ac:dyDescent="0.3">
      <c r="C116" s="23" t="s">
        <v>562</v>
      </c>
      <c r="F116" s="70">
        <f>$F$13</f>
        <v>1486661.5</v>
      </c>
    </row>
    <row r="117" spans="3:16" ht="14.1" customHeight="1" x14ac:dyDescent="0.3">
      <c r="C117" s="23" t="s">
        <v>563</v>
      </c>
      <c r="F117" s="189">
        <f>F115/F116</f>
        <v>5.6341002978822011E-3</v>
      </c>
    </row>
    <row r="118" spans="3:16" ht="14.1" customHeight="1" x14ac:dyDescent="0.3">
      <c r="C118" s="23" t="s">
        <v>564</v>
      </c>
      <c r="F118" s="78">
        <f>$F$10</f>
        <v>0.24</v>
      </c>
    </row>
    <row r="119" spans="3:16" ht="14.1" customHeight="1" x14ac:dyDescent="0.3">
      <c r="C119" s="89" t="s">
        <v>565</v>
      </c>
      <c r="F119" s="246">
        <f>F114/(1+(1-F118)*F117)</f>
        <v>1.84211222975259</v>
      </c>
    </row>
    <row r="120" spans="3:16" ht="14.1" customHeight="1" x14ac:dyDescent="0.3">
      <c r="C120" s="89" t="s">
        <v>566</v>
      </c>
      <c r="F120" s="246">
        <f>F119*(1+(1-F118)*F117)</f>
        <v>1.85</v>
      </c>
    </row>
    <row r="121" spans="3:16" ht="15" customHeight="1" x14ac:dyDescent="0.3">
      <c r="C121" s="232" t="s">
        <v>567</v>
      </c>
      <c r="E121" s="247">
        <f>$F$15*$F$11+$F$16*($F$5+($F$6-0.2)*$F$7)</f>
        <v>0.11557294624047892</v>
      </c>
      <c r="G121" s="248">
        <f>$F$15*$F$11+$F$16*($F$5+($F$6+0)*$F$7)</f>
        <v>0.12380655725023622</v>
      </c>
      <c r="I121" s="247">
        <f>$F$15*$F$11+$F$16*($F$5+($F$6+0.2)*$F$7)</f>
        <v>0.13204016825999351</v>
      </c>
    </row>
    <row r="122" spans="3:16" ht="40.049999999999997" customHeight="1" x14ac:dyDescent="0.3">
      <c r="C122" s="296" t="s">
        <v>568</v>
      </c>
      <c r="D122" s="297"/>
      <c r="E122" s="297"/>
      <c r="F122" s="297"/>
      <c r="G122" s="297"/>
      <c r="H122" s="297"/>
      <c r="I122" s="297"/>
      <c r="J122" s="297"/>
      <c r="K122" s="297"/>
      <c r="L122" s="297"/>
      <c r="M122" s="297"/>
      <c r="N122" s="297"/>
      <c r="O122" s="297"/>
      <c r="P122" s="297"/>
    </row>
  </sheetData>
  <mergeCells count="39">
    <mergeCell ref="C122:P122"/>
    <mergeCell ref="G18:P18"/>
    <mergeCell ref="C77:I78"/>
    <mergeCell ref="C29:E29"/>
    <mergeCell ref="C111:P111"/>
    <mergeCell ref="K83:P83"/>
    <mergeCell ref="C97:P97"/>
    <mergeCell ref="K87:M87"/>
    <mergeCell ref="K86:M86"/>
    <mergeCell ref="A81:P81"/>
    <mergeCell ref="I83:J83"/>
    <mergeCell ref="C30:E30"/>
    <mergeCell ref="K85:M85"/>
    <mergeCell ref="K84:M84"/>
    <mergeCell ref="E1:F1"/>
    <mergeCell ref="G9:P9"/>
    <mergeCell ref="G12:P12"/>
    <mergeCell ref="B83:D83"/>
    <mergeCell ref="G11:P11"/>
    <mergeCell ref="A1:D1"/>
    <mergeCell ref="G83:H83"/>
    <mergeCell ref="G15:P15"/>
    <mergeCell ref="C59:P59"/>
    <mergeCell ref="G8:P8"/>
    <mergeCell ref="L63:P63"/>
    <mergeCell ref="A61:P61"/>
    <mergeCell ref="G17:P17"/>
    <mergeCell ref="G7:P7"/>
    <mergeCell ref="E83:F83"/>
    <mergeCell ref="G1:P1"/>
    <mergeCell ref="G10:P10"/>
    <mergeCell ref="G6:P6"/>
    <mergeCell ref="G13:P13"/>
    <mergeCell ref="L72:P72"/>
    <mergeCell ref="A2:P2"/>
    <mergeCell ref="G14:P14"/>
    <mergeCell ref="G5:P5"/>
    <mergeCell ref="G4:P4"/>
    <mergeCell ref="G16:P16"/>
  </mergeCells>
  <hyperlinks>
    <hyperlink ref="E1" location="Cover!A1" display="◄  Cover"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31937"/>
  </sheetPr>
  <dimension ref="A1:P136"/>
  <sheetViews>
    <sheetView showGridLines="0" topLeftCell="A11" workbookViewId="0">
      <selection activeCell="K97" sqref="K97"/>
    </sheetView>
  </sheetViews>
  <sheetFormatPr defaultRowHeight="14.4" x14ac:dyDescent="0.3"/>
  <cols>
    <col min="1" max="2" width="2.21875" customWidth="1"/>
    <col min="3" max="3" width="50" customWidth="1"/>
    <col min="4" max="4" width="1.5546875" customWidth="1"/>
    <col min="5" max="5" width="9" customWidth="1"/>
    <col min="6" max="6" width="1.5546875" customWidth="1"/>
    <col min="7" max="7" width="13" customWidth="1"/>
    <col min="8" max="8" width="1.5546875" customWidth="1"/>
    <col min="9" max="9" width="13" customWidth="1"/>
    <col min="10" max="10" width="1.5546875" customWidth="1"/>
    <col min="11" max="11" width="13" customWidth="1"/>
    <col min="12" max="16" width="11.5546875" customWidth="1"/>
  </cols>
  <sheetData>
    <row r="1" spans="1:16" ht="27" customHeight="1" x14ac:dyDescent="0.3">
      <c r="A1" s="301" t="s">
        <v>1</v>
      </c>
      <c r="B1" s="299"/>
      <c r="C1" s="299"/>
      <c r="D1" s="299"/>
      <c r="E1" s="298" t="s">
        <v>71</v>
      </c>
      <c r="F1" s="299"/>
      <c r="G1" s="304" t="s">
        <v>569</v>
      </c>
      <c r="H1" s="299"/>
      <c r="I1" s="299"/>
      <c r="J1" s="299"/>
      <c r="K1" s="299"/>
      <c r="L1" s="299"/>
      <c r="M1" s="299"/>
      <c r="N1" s="299"/>
      <c r="O1" s="299"/>
      <c r="P1" s="299"/>
    </row>
    <row r="2" spans="1:16" ht="13.05" customHeight="1" x14ac:dyDescent="0.3">
      <c r="A2" s="303" t="s">
        <v>570</v>
      </c>
      <c r="B2" s="297"/>
      <c r="C2" s="297"/>
      <c r="D2" s="297"/>
      <c r="E2" s="297"/>
      <c r="F2" s="297"/>
      <c r="G2" s="297"/>
      <c r="H2" s="297"/>
      <c r="I2" s="297"/>
      <c r="J2" s="297"/>
      <c r="K2" s="297"/>
      <c r="L2" s="297"/>
      <c r="M2" s="297"/>
      <c r="N2" s="297"/>
      <c r="O2" s="297"/>
      <c r="P2" s="297"/>
    </row>
    <row r="3" spans="1:16" ht="6" customHeight="1" x14ac:dyDescent="0.3"/>
    <row r="4" spans="1:16" ht="16.95" customHeight="1" x14ac:dyDescent="0.3">
      <c r="A4" s="24" t="s">
        <v>571</v>
      </c>
      <c r="B4" s="25"/>
      <c r="C4" s="25"/>
      <c r="D4" s="25"/>
      <c r="E4" s="25"/>
      <c r="F4" s="25"/>
      <c r="G4" s="25"/>
      <c r="H4" s="25"/>
      <c r="I4" s="25"/>
      <c r="J4" s="25"/>
      <c r="K4" s="25"/>
      <c r="L4" s="25"/>
      <c r="M4" s="25"/>
      <c r="N4" s="25"/>
      <c r="O4" s="25"/>
      <c r="P4" s="25"/>
    </row>
    <row r="5" spans="1:16" ht="18" customHeight="1" x14ac:dyDescent="0.3">
      <c r="C5" s="110" t="s">
        <v>572</v>
      </c>
      <c r="E5" s="111" t="s">
        <v>76</v>
      </c>
      <c r="G5" s="219" t="str">
        <f>"Bear"&amp;IF(Assumptions!$L$2=1," ◄ SELECTED","")</f>
        <v>Bear</v>
      </c>
      <c r="I5" s="219" t="str">
        <f>"Base"&amp;IF(Assumptions!$L$2=2," ◄ SELECTED","")</f>
        <v>Base ◄ SELECTED</v>
      </c>
      <c r="K5" s="219" t="str">
        <f>"Bull"&amp;IF(Assumptions!$L$2=3," ◄ SELECTED","")</f>
        <v>Bull</v>
      </c>
    </row>
    <row r="6" spans="1:16" ht="15" customHeight="1" x14ac:dyDescent="0.3">
      <c r="C6" s="236" t="s">
        <v>573</v>
      </c>
      <c r="E6" s="249" t="s">
        <v>97</v>
      </c>
      <c r="G6" s="239">
        <f>P32</f>
        <v>113105.54107996881</v>
      </c>
      <c r="I6" s="239">
        <f>P70</f>
        <v>161408.21433343834</v>
      </c>
      <c r="K6" s="239">
        <f>P108</f>
        <v>206513.15804175247</v>
      </c>
    </row>
    <row r="7" spans="1:16" ht="15" customHeight="1" x14ac:dyDescent="0.3">
      <c r="C7" s="236" t="s">
        <v>574</v>
      </c>
      <c r="E7" s="249" t="s">
        <v>575</v>
      </c>
      <c r="G7" s="250">
        <f>(P32/K32)^(1/5)-1</f>
        <v>3.5882208658338799E-2</v>
      </c>
      <c r="I7" s="250">
        <f>(P70/K70)^(1/5)-1</f>
        <v>0.1122405495729113</v>
      </c>
      <c r="K7" s="250">
        <f>(P108/K108)^(1/5)-1</f>
        <v>0.16843119510916482</v>
      </c>
    </row>
    <row r="8" spans="1:16" ht="15" customHeight="1" x14ac:dyDescent="0.3">
      <c r="C8" s="236" t="s">
        <v>551</v>
      </c>
      <c r="E8" s="249" t="s">
        <v>97</v>
      </c>
      <c r="G8" s="239">
        <f>P44</f>
        <v>14722.575560356156</v>
      </c>
      <c r="I8" s="239">
        <f>P82</f>
        <v>29048.635848384351</v>
      </c>
      <c r="K8" s="239">
        <f>P120</f>
        <v>44126.507563525905</v>
      </c>
    </row>
    <row r="9" spans="1:16" ht="15" customHeight="1" x14ac:dyDescent="0.3">
      <c r="C9" s="236" t="s">
        <v>576</v>
      </c>
      <c r="E9" s="249" t="s">
        <v>575</v>
      </c>
      <c r="G9" s="250">
        <f>P44/P32</f>
        <v>0.13016670465284172</v>
      </c>
      <c r="I9" s="250">
        <f>P82/P70</f>
        <v>0.17996999699392902</v>
      </c>
      <c r="K9" s="250">
        <f>P120/P108</f>
        <v>0.21367407279009545</v>
      </c>
    </row>
    <row r="10" spans="1:16" ht="15" customHeight="1" x14ac:dyDescent="0.3">
      <c r="C10" s="236" t="s">
        <v>577</v>
      </c>
      <c r="E10" s="249" t="s">
        <v>97</v>
      </c>
      <c r="G10" s="239">
        <f>P39</f>
        <v>6807.7837233542814</v>
      </c>
      <c r="I10" s="239">
        <f>P77</f>
        <v>20564.3101794502</v>
      </c>
      <c r="K10" s="239">
        <f>P115</f>
        <v>35125.316664207268</v>
      </c>
    </row>
    <row r="11" spans="1:16" ht="15" customHeight="1" x14ac:dyDescent="0.3">
      <c r="C11" s="236" t="s">
        <v>578</v>
      </c>
      <c r="E11" s="249" t="s">
        <v>575</v>
      </c>
      <c r="G11" s="250">
        <f>P39/P32</f>
        <v>6.0189657008412931E-2</v>
      </c>
      <c r="I11" s="250">
        <f>P77/P70</f>
        <v>0.12740559868265619</v>
      </c>
      <c r="K11" s="250">
        <f>P115/P108</f>
        <v>0.17008754791840283</v>
      </c>
    </row>
    <row r="12" spans="1:16" ht="15" customHeight="1" x14ac:dyDescent="0.3">
      <c r="C12" s="236" t="s">
        <v>579</v>
      </c>
      <c r="E12" s="249" t="s">
        <v>97</v>
      </c>
      <c r="G12" s="239">
        <f>P50</f>
        <v>5946.4147092906815</v>
      </c>
      <c r="I12" s="239">
        <f>P88</f>
        <v>16401.374815923577</v>
      </c>
      <c r="K12" s="239">
        <f>P126</f>
        <v>27467.739744338949</v>
      </c>
    </row>
    <row r="13" spans="1:16" ht="15" customHeight="1" x14ac:dyDescent="0.3">
      <c r="C13" s="251" t="s">
        <v>580</v>
      </c>
      <c r="E13" s="252" t="s">
        <v>97</v>
      </c>
      <c r="G13" s="253">
        <f>P48</f>
        <v>2369.8930527770717</v>
      </c>
      <c r="I13" s="253">
        <f>P86</f>
        <v>10814.999874987323</v>
      </c>
      <c r="K13" s="253">
        <f>P124</f>
        <v>20083.529219003543</v>
      </c>
    </row>
    <row r="14" spans="1:16" ht="15" customHeight="1" x14ac:dyDescent="0.3">
      <c r="C14" s="220" t="s">
        <v>350</v>
      </c>
      <c r="E14" s="249" t="s">
        <v>97</v>
      </c>
      <c r="G14" s="254">
        <f>K57</f>
        <v>16863.275808634418</v>
      </c>
      <c r="I14" s="254">
        <f>K95</f>
        <v>93694.397949458449</v>
      </c>
      <c r="K14" s="254">
        <f>K133</f>
        <v>176169.40917809051</v>
      </c>
    </row>
    <row r="15" spans="1:16" ht="15" customHeight="1" x14ac:dyDescent="0.3">
      <c r="C15" s="220" t="s">
        <v>581</v>
      </c>
      <c r="E15" s="249" t="s">
        <v>97</v>
      </c>
      <c r="G15" s="254">
        <f>K58</f>
        <v>51818.275808634418</v>
      </c>
      <c r="I15" s="254">
        <f>K96</f>
        <v>128649.39794945845</v>
      </c>
      <c r="K15" s="254">
        <f>K134</f>
        <v>211124.40917809051</v>
      </c>
    </row>
    <row r="16" spans="1:16" ht="15" customHeight="1" x14ac:dyDescent="0.3">
      <c r="C16" s="220" t="s">
        <v>582</v>
      </c>
      <c r="E16" s="249" t="s">
        <v>140</v>
      </c>
      <c r="G16" s="255">
        <f>K59</f>
        <v>13.118550837628966</v>
      </c>
      <c r="I16" s="255">
        <f>K97</f>
        <v>32.569467835305936</v>
      </c>
      <c r="K16" s="255">
        <f>K135</f>
        <v>53.449217513440637</v>
      </c>
    </row>
    <row r="17" spans="1:16" ht="15" customHeight="1" x14ac:dyDescent="0.3">
      <c r="C17" s="220" t="s">
        <v>583</v>
      </c>
      <c r="E17" s="249" t="s">
        <v>575</v>
      </c>
      <c r="G17" s="256">
        <f>K59/Assumptions!$G$56-1</f>
        <v>-0.96514453639336562</v>
      </c>
      <c r="I17" s="256">
        <f>K97/Assumptions!$G$56-1</f>
        <v>-0.91346422978636466</v>
      </c>
      <c r="K17" s="256">
        <f>K135/Assumptions!$G$56-1</f>
        <v>-0.85798757203432618</v>
      </c>
    </row>
    <row r="18" spans="1:16" ht="7.95" customHeight="1" x14ac:dyDescent="0.3"/>
    <row r="19" spans="1:16" ht="15" customHeight="1" x14ac:dyDescent="0.3">
      <c r="C19" s="92" t="s">
        <v>584</v>
      </c>
      <c r="I19" s="257" t="str">
        <f>IF(Assumptions!$L$2&lt;&gt;2,"set selector to 2 to test",IF(ABS(I16-Valuation!K56)&lt;0.01,"PASS","FAIL"))</f>
        <v>PASS</v>
      </c>
    </row>
    <row r="20" spans="1:16" ht="25.95" customHeight="1" x14ac:dyDescent="0.3">
      <c r="C20" s="296" t="s">
        <v>585</v>
      </c>
      <c r="D20" s="297"/>
      <c r="E20" s="297"/>
      <c r="F20" s="297"/>
      <c r="G20" s="297"/>
      <c r="H20" s="297"/>
      <c r="I20" s="297"/>
      <c r="J20" s="297"/>
      <c r="K20" s="297"/>
      <c r="L20" s="297"/>
      <c r="M20" s="297"/>
      <c r="N20" s="297"/>
      <c r="O20" s="297"/>
      <c r="P20" s="297"/>
    </row>
    <row r="21" spans="1:16" ht="7.95" customHeight="1" x14ac:dyDescent="0.3"/>
    <row r="23" spans="1:16" ht="16.95" customHeight="1" x14ac:dyDescent="0.3">
      <c r="A23" s="24" t="s">
        <v>586</v>
      </c>
      <c r="B23" s="25"/>
      <c r="C23" s="25"/>
      <c r="D23" s="25"/>
      <c r="E23" s="25"/>
      <c r="F23" s="25"/>
      <c r="G23" s="25"/>
      <c r="H23" s="25"/>
      <c r="I23" s="25"/>
      <c r="J23" s="25"/>
      <c r="K23" s="25"/>
      <c r="L23" s="25"/>
      <c r="M23" s="25"/>
      <c r="N23" s="25"/>
      <c r="O23" s="25"/>
      <c r="P23" s="25"/>
    </row>
    <row r="24" spans="1:16" ht="16.05" customHeight="1" x14ac:dyDescent="0.3">
      <c r="K24" s="258" t="str">
        <f>'Revenue Build-up'!K3</f>
        <v>FY25A</v>
      </c>
      <c r="L24" s="259" t="str">
        <f>'Revenue Build-up'!L3</f>
        <v>FY26E</v>
      </c>
      <c r="M24" s="259" t="str">
        <f>'Revenue Build-up'!M3</f>
        <v>FY27E</v>
      </c>
      <c r="N24" s="259" t="str">
        <f>'Revenue Build-up'!N3</f>
        <v>FY28E</v>
      </c>
      <c r="O24" s="259" t="str">
        <f>'Revenue Build-up'!O3</f>
        <v>FY29E</v>
      </c>
      <c r="P24" s="259" t="str">
        <f>'Revenue Build-up'!P3</f>
        <v>FY30E</v>
      </c>
    </row>
    <row r="25" spans="1:16" ht="14.1" customHeight="1" x14ac:dyDescent="0.3">
      <c r="C25" s="23" t="s">
        <v>156</v>
      </c>
      <c r="E25" s="45" t="s">
        <v>91</v>
      </c>
      <c r="K25" s="260">
        <f>'Revenue Build-up'!K5</f>
        <v>1636129</v>
      </c>
      <c r="L25" s="46">
        <f>K25*(1+Assumptions!L68)</f>
        <v>1636129</v>
      </c>
      <c r="M25" s="46">
        <f>L25*(1+Assumptions!M68)</f>
        <v>1685212.87</v>
      </c>
      <c r="N25" s="46">
        <f>M25*(1+Assumptions!N68)</f>
        <v>1769473.5135000001</v>
      </c>
      <c r="O25" s="46">
        <f>N25*(1+Assumptions!O68)</f>
        <v>1857947.1891750002</v>
      </c>
      <c r="P25" s="46">
        <f>O25*(1+Assumptions!P68)</f>
        <v>1932265.0767420002</v>
      </c>
    </row>
    <row r="26" spans="1:16" ht="14.1" customHeight="1" x14ac:dyDescent="0.3">
      <c r="C26" s="23" t="s">
        <v>587</v>
      </c>
      <c r="E26" s="45" t="s">
        <v>94</v>
      </c>
      <c r="K26" s="261">
        <f>'Revenue Build-up'!K6</f>
        <v>41276.085198661</v>
      </c>
      <c r="L26" s="49">
        <f>K26*(1+Assumptions!L71)</f>
        <v>38799.520086741337</v>
      </c>
      <c r="M26" s="49">
        <f>L26*(1+Assumptions!M71)</f>
        <v>37247.539283271683</v>
      </c>
      <c r="N26" s="49">
        <f>M26*(1+Assumptions!N71)</f>
        <v>36502.588497606252</v>
      </c>
      <c r="O26" s="49">
        <f>N26*(1+Assumptions!O71)</f>
        <v>36502.588497606252</v>
      </c>
      <c r="P26" s="49">
        <f>O26*(1+Assumptions!P71)</f>
        <v>36502.588497606252</v>
      </c>
    </row>
    <row r="27" spans="1:16" ht="14.1" customHeight="1" x14ac:dyDescent="0.3">
      <c r="C27" s="23" t="s">
        <v>158</v>
      </c>
      <c r="E27" s="45" t="s">
        <v>97</v>
      </c>
      <c r="L27" s="70">
        <f>L25*L26/1000000</f>
        <v>63481.020000000019</v>
      </c>
      <c r="M27" s="70">
        <f>M25*M26/1000000</f>
        <v>62770.03257600002</v>
      </c>
      <c r="N27" s="70">
        <f>N25*N26/1000000</f>
        <v>64590.363520704028</v>
      </c>
      <c r="O27" s="70">
        <f>O25*O26/1000000</f>
        <v>67819.881696739234</v>
      </c>
      <c r="P27" s="70">
        <f>P25*P26/1000000</f>
        <v>70532.676964608792</v>
      </c>
    </row>
    <row r="28" spans="1:16" ht="14.1" customHeight="1" x14ac:dyDescent="0.3">
      <c r="C28" s="23" t="s">
        <v>159</v>
      </c>
      <c r="E28" s="45" t="s">
        <v>97</v>
      </c>
      <c r="K28" s="260">
        <f>'Revenue Build-up'!K8</f>
        <v>1993</v>
      </c>
      <c r="L28" s="46">
        <f>K28*(1+Assumptions!L74)</f>
        <v>1195.8</v>
      </c>
      <c r="M28" s="46">
        <f>L28*(1+Assumptions!M74)</f>
        <v>777.27</v>
      </c>
      <c r="N28" s="46">
        <f>M28*(1+Assumptions!N74)</f>
        <v>582.95249999999999</v>
      </c>
      <c r="O28" s="46">
        <f>N28*(1+Assumptions!O74)</f>
        <v>466.36200000000002</v>
      </c>
      <c r="P28" s="46">
        <f>O28*(1+Assumptions!P74)</f>
        <v>373.08960000000002</v>
      </c>
    </row>
    <row r="29" spans="1:16" ht="14.1" customHeight="1" x14ac:dyDescent="0.3">
      <c r="C29" s="23" t="s">
        <v>160</v>
      </c>
      <c r="E29" s="45" t="s">
        <v>97</v>
      </c>
      <c r="L29" s="70">
        <f>L27+L28</f>
        <v>64676.820000000022</v>
      </c>
      <c r="M29" s="70">
        <f>M27+M28</f>
        <v>63547.302576000016</v>
      </c>
      <c r="N29" s="70">
        <f>N27+N28</f>
        <v>65173.316020704027</v>
      </c>
      <c r="O29" s="70">
        <f>O27+O28</f>
        <v>68286.243696739228</v>
      </c>
      <c r="P29" s="70">
        <f>P27+P28</f>
        <v>70905.766564608799</v>
      </c>
    </row>
    <row r="30" spans="1:16" ht="14.1" customHeight="1" x14ac:dyDescent="0.3">
      <c r="C30" s="23" t="s">
        <v>161</v>
      </c>
      <c r="E30" s="45" t="s">
        <v>97</v>
      </c>
      <c r="K30" s="260">
        <f>'Revenue Build-up'!K12</f>
        <v>12771</v>
      </c>
      <c r="L30" s="46">
        <f>K30*(1+Assumptions!L80)</f>
        <v>15325.199999999999</v>
      </c>
      <c r="M30" s="46">
        <f>L30*(1+Assumptions!M80)</f>
        <v>17623.979999999996</v>
      </c>
      <c r="N30" s="46">
        <f>M30*(1+Assumptions!N80)</f>
        <v>19738.857599999996</v>
      </c>
      <c r="O30" s="46">
        <f>N30*(1+Assumptions!O80)</f>
        <v>21712.743359999997</v>
      </c>
      <c r="P30" s="46">
        <f>O30*(1+Assumptions!P80)</f>
        <v>23449.762828799998</v>
      </c>
    </row>
    <row r="31" spans="1:16" ht="14.1" customHeight="1" x14ac:dyDescent="0.3">
      <c r="C31" s="23" t="s">
        <v>162</v>
      </c>
      <c r="E31" s="45" t="s">
        <v>97</v>
      </c>
      <c r="K31" s="260">
        <f>'Revenue Build-up'!K15</f>
        <v>12530</v>
      </c>
      <c r="L31" s="46">
        <f>K31*(1+Assumptions!L86)</f>
        <v>13783.000000000002</v>
      </c>
      <c r="M31" s="46">
        <f>L31*(1+Assumptions!M86)</f>
        <v>15023.470000000003</v>
      </c>
      <c r="N31" s="46">
        <f>M31*(1+Assumptions!N86)</f>
        <v>16225.347600000005</v>
      </c>
      <c r="O31" s="46">
        <f>N31*(1+Assumptions!O86)</f>
        <v>17523.375408000007</v>
      </c>
      <c r="P31" s="46">
        <f>O31*(1+Assumptions!P86)</f>
        <v>18750.01168656001</v>
      </c>
    </row>
    <row r="32" spans="1:16" ht="14.1" customHeight="1" x14ac:dyDescent="0.3">
      <c r="C32" s="71" t="s">
        <v>163</v>
      </c>
      <c r="D32" s="72"/>
      <c r="E32" s="87" t="s">
        <v>97</v>
      </c>
      <c r="F32" s="72"/>
      <c r="G32" s="72"/>
      <c r="H32" s="72"/>
      <c r="I32" s="72"/>
      <c r="J32" s="72"/>
      <c r="K32" s="262">
        <f>'Revenue Build-up'!K18</f>
        <v>94827.000000000029</v>
      </c>
      <c r="L32" s="263">
        <f>L29+L30+L31</f>
        <v>93785.020000000019</v>
      </c>
      <c r="M32" s="263">
        <f>M29+M30+M31</f>
        <v>96194.752576000014</v>
      </c>
      <c r="N32" s="263">
        <f>N29+N30+N31</f>
        <v>101137.52122070403</v>
      </c>
      <c r="O32" s="263">
        <f>O29+O30+O31</f>
        <v>107522.36246473923</v>
      </c>
      <c r="P32" s="263">
        <f>P29+P30+P31</f>
        <v>113105.54107996881</v>
      </c>
    </row>
    <row r="33" spans="3:16" ht="14.1" customHeight="1" x14ac:dyDescent="0.3">
      <c r="C33" s="23" t="s">
        <v>588</v>
      </c>
      <c r="E33" s="45" t="s">
        <v>97</v>
      </c>
      <c r="L33" s="46">
        <f>L29*Assumptions!L77</f>
        <v>10671.675300000004</v>
      </c>
      <c r="M33" s="46">
        <f>M29*Assumptions!M77</f>
        <v>10803.041437920003</v>
      </c>
      <c r="N33" s="46">
        <f>N29*Assumptions!N77</f>
        <v>11405.330303623205</v>
      </c>
      <c r="O33" s="46">
        <f>O29*Assumptions!O77</f>
        <v>12291.523865413061</v>
      </c>
      <c r="P33" s="46">
        <f>P29*Assumptions!P77</f>
        <v>13117.566814452628</v>
      </c>
    </row>
    <row r="34" spans="3:16" ht="14.1" customHeight="1" x14ac:dyDescent="0.3">
      <c r="C34" s="23" t="s">
        <v>589</v>
      </c>
      <c r="E34" s="45" t="s">
        <v>97</v>
      </c>
      <c r="L34" s="46">
        <f>L30*Assumptions!L83</f>
        <v>3984.5519999999997</v>
      </c>
      <c r="M34" s="46">
        <f>M30*Assumptions!M83</f>
        <v>4582.2347999999993</v>
      </c>
      <c r="N34" s="46">
        <f>N30*Assumptions!N83</f>
        <v>5329.4915519999995</v>
      </c>
      <c r="O34" s="46">
        <f>O30*Assumptions!O83</f>
        <v>5862.4407071999995</v>
      </c>
      <c r="P34" s="46">
        <f>P30*Assumptions!P83</f>
        <v>6331.4359637759999</v>
      </c>
    </row>
    <row r="35" spans="3:16" ht="14.1" customHeight="1" x14ac:dyDescent="0.3">
      <c r="C35" s="23" t="s">
        <v>590</v>
      </c>
      <c r="E35" s="45" t="s">
        <v>97</v>
      </c>
      <c r="L35" s="46">
        <f>L31*Assumptions!L89</f>
        <v>1240.47</v>
      </c>
      <c r="M35" s="46">
        <f>M31*Assumptions!M89</f>
        <v>1427.2296500000002</v>
      </c>
      <c r="N35" s="46">
        <f>N31*Assumptions!N89</f>
        <v>1622.5347600000005</v>
      </c>
      <c r="O35" s="46">
        <f>O31*Assumptions!O89</f>
        <v>1839.9544178400006</v>
      </c>
      <c r="P35" s="46">
        <f>P31*Assumptions!P89</f>
        <v>2062.5012855216009</v>
      </c>
    </row>
    <row r="36" spans="3:16" ht="14.1" customHeight="1" x14ac:dyDescent="0.3">
      <c r="C36" s="71" t="s">
        <v>189</v>
      </c>
      <c r="D36" s="72"/>
      <c r="E36" s="87" t="s">
        <v>97</v>
      </c>
      <c r="F36" s="72"/>
      <c r="G36" s="72"/>
      <c r="H36" s="72"/>
      <c r="I36" s="72"/>
      <c r="J36" s="72"/>
      <c r="K36" s="72"/>
      <c r="L36" s="263">
        <f>SUM(L33:L35)</f>
        <v>15896.697300000003</v>
      </c>
      <c r="M36" s="263">
        <f>SUM(M33:M35)</f>
        <v>16812.505887920004</v>
      </c>
      <c r="N36" s="263">
        <f>SUM(N33:N35)</f>
        <v>18357.356615623205</v>
      </c>
      <c r="O36" s="263">
        <f>SUM(O33:O35)</f>
        <v>19993.918990453061</v>
      </c>
      <c r="P36" s="263">
        <f>SUM(P33:P35)</f>
        <v>21511.504063750228</v>
      </c>
    </row>
    <row r="37" spans="3:16" ht="14.1" customHeight="1" x14ac:dyDescent="0.3">
      <c r="C37" s="23" t="s">
        <v>591</v>
      </c>
      <c r="E37" s="45" t="s">
        <v>97</v>
      </c>
      <c r="L37" s="46">
        <f>L32*Assumptions!L92</f>
        <v>7033.8765000000012</v>
      </c>
      <c r="M37" s="46">
        <f>M32*Assumptions!M92</f>
        <v>7214.6064432000012</v>
      </c>
      <c r="N37" s="46">
        <f>N32*Assumptions!N92</f>
        <v>7585.314091552802</v>
      </c>
      <c r="O37" s="46">
        <f>O32*Assumptions!O92</f>
        <v>7741.6100974612236</v>
      </c>
      <c r="P37" s="46">
        <f>P32*Assumptions!P92</f>
        <v>7917.3878755978176</v>
      </c>
    </row>
    <row r="38" spans="3:16" ht="14.1" customHeight="1" x14ac:dyDescent="0.3">
      <c r="C38" s="23" t="s">
        <v>592</v>
      </c>
      <c r="E38" s="45" t="s">
        <v>97</v>
      </c>
      <c r="L38" s="46">
        <f>L32*Assumptions!L95</f>
        <v>6096.0263000000014</v>
      </c>
      <c r="M38" s="46">
        <f>M32*Assumptions!M95</f>
        <v>6156.4641648640008</v>
      </c>
      <c r="N38" s="46">
        <f>N32*Assumptions!N95</f>
        <v>6371.663836904354</v>
      </c>
      <c r="O38" s="46">
        <f>O32*Assumptions!O95</f>
        <v>6666.3864728138324</v>
      </c>
      <c r="P38" s="46">
        <f>P32*Assumptions!P95</f>
        <v>6786.3324647981281</v>
      </c>
    </row>
    <row r="39" spans="3:16" ht="14.1" customHeight="1" x14ac:dyDescent="0.3">
      <c r="C39" s="71" t="s">
        <v>191</v>
      </c>
      <c r="D39" s="72"/>
      <c r="E39" s="87" t="s">
        <v>97</v>
      </c>
      <c r="F39" s="72"/>
      <c r="G39" s="72"/>
      <c r="H39" s="72"/>
      <c r="I39" s="72"/>
      <c r="J39" s="72"/>
      <c r="K39" s="72"/>
      <c r="L39" s="263">
        <f>L36-L37-L38</f>
        <v>2766.7945</v>
      </c>
      <c r="M39" s="263">
        <f>M36-M37-M38</f>
        <v>3441.4352798560012</v>
      </c>
      <c r="N39" s="263">
        <f>N36-N37-N38</f>
        <v>4400.3786871660486</v>
      </c>
      <c r="O39" s="263">
        <f>O36-O37-O38</f>
        <v>5585.9224201780053</v>
      </c>
      <c r="P39" s="263">
        <f>P36-P37-P38</f>
        <v>6807.7837233542814</v>
      </c>
    </row>
    <row r="40" spans="3:16" ht="14.1" customHeight="1" x14ac:dyDescent="0.3">
      <c r="C40" s="23" t="s">
        <v>242</v>
      </c>
      <c r="E40" s="45" t="s">
        <v>97</v>
      </c>
      <c r="L40" s="70">
        <f>K43</f>
        <v>40643</v>
      </c>
      <c r="M40" s="70">
        <f>L43</f>
        <v>44253.2572</v>
      </c>
      <c r="N40" s="70">
        <f>M43</f>
        <v>47273.185068480001</v>
      </c>
      <c r="O40" s="70">
        <f>N43</f>
        <v>50059.593504936012</v>
      </c>
      <c r="P40" s="70">
        <f>O43</f>
        <v>52765.278913345835</v>
      </c>
    </row>
    <row r="41" spans="3:16" ht="14.1" customHeight="1" x14ac:dyDescent="0.3">
      <c r="C41" s="23" t="s">
        <v>593</v>
      </c>
      <c r="E41" s="45" t="s">
        <v>97</v>
      </c>
      <c r="L41" s="46">
        <f>L40*Assumptions!L42</f>
        <v>6706.0950000000003</v>
      </c>
      <c r="M41" s="46">
        <f>M40*Assumptions!M42</f>
        <v>7080.5211520000003</v>
      </c>
      <c r="N41" s="46">
        <f>N40*Assumptions!N42</f>
        <v>7327.3436856143999</v>
      </c>
      <c r="O41" s="46">
        <f>O40*Assumptions!O42</f>
        <v>7508.9390257404011</v>
      </c>
      <c r="P41" s="46">
        <f>P40*Assumptions!P42</f>
        <v>7914.7918370018751</v>
      </c>
    </row>
    <row r="42" spans="3:16" ht="14.1" customHeight="1" x14ac:dyDescent="0.3">
      <c r="C42" s="23" t="s">
        <v>243</v>
      </c>
      <c r="E42" s="45" t="s">
        <v>97</v>
      </c>
      <c r="L42" s="46">
        <f>L32*Assumptions!L98</f>
        <v>10316.352200000003</v>
      </c>
      <c r="M42" s="46">
        <f>M32*Assumptions!M98</f>
        <v>10100.44902048</v>
      </c>
      <c r="N42" s="46">
        <f>N32*Assumptions!N98</f>
        <v>10113.752122070404</v>
      </c>
      <c r="O42" s="46">
        <f>O32*Assumptions!O98</f>
        <v>10214.624434150226</v>
      </c>
      <c r="P42" s="46">
        <f>P32*Assumptions!P98</f>
        <v>10179.498697197192</v>
      </c>
    </row>
    <row r="43" spans="3:16" ht="14.1" customHeight="1" x14ac:dyDescent="0.3">
      <c r="C43" s="23" t="s">
        <v>246</v>
      </c>
      <c r="E43" s="45" t="s">
        <v>97</v>
      </c>
      <c r="K43" s="260">
        <f>'Asset Schedule'!K9</f>
        <v>40643</v>
      </c>
      <c r="L43" s="70">
        <f>L40-L41+L42</f>
        <v>44253.2572</v>
      </c>
      <c r="M43" s="70">
        <f>M40-M41+M42</f>
        <v>47273.185068480001</v>
      </c>
      <c r="N43" s="70">
        <f>N40-N41+N42</f>
        <v>50059.593504936012</v>
      </c>
      <c r="O43" s="70">
        <f>O40-O41+O42</f>
        <v>52765.278913345835</v>
      </c>
      <c r="P43" s="70">
        <f>P40-P41+P42</f>
        <v>55029.98577354115</v>
      </c>
    </row>
    <row r="44" spans="3:16" ht="14.1" customHeight="1" x14ac:dyDescent="0.3">
      <c r="C44" s="71" t="s">
        <v>194</v>
      </c>
      <c r="D44" s="72"/>
      <c r="E44" s="87" t="s">
        <v>97</v>
      </c>
      <c r="F44" s="72"/>
      <c r="G44" s="72"/>
      <c r="H44" s="72"/>
      <c r="I44" s="72"/>
      <c r="J44" s="72"/>
      <c r="K44" s="72"/>
      <c r="L44" s="263">
        <f>L39+L41</f>
        <v>9472.8895000000011</v>
      </c>
      <c r="M44" s="263">
        <f>M39+M41</f>
        <v>10521.956431856001</v>
      </c>
      <c r="N44" s="263">
        <f>N39+N41</f>
        <v>11727.722372780448</v>
      </c>
      <c r="O44" s="263">
        <f>O39+O41</f>
        <v>13094.861445918406</v>
      </c>
      <c r="P44" s="263">
        <f>P39+P41</f>
        <v>14722.575560356156</v>
      </c>
    </row>
    <row r="45" spans="3:16" ht="14.1" customHeight="1" x14ac:dyDescent="0.3">
      <c r="C45" s="23" t="s">
        <v>594</v>
      </c>
      <c r="E45" s="45" t="s">
        <v>97</v>
      </c>
      <c r="K45" s="260">
        <f>BS!K6+BS!K7+Valuation!$F$30-BS!K17-BS!K18-BS!K19</f>
        <v>-5491</v>
      </c>
      <c r="L45" s="46">
        <f>L32/365*Assumptions!L29+(L32-L36)/365*Assumptions!L30+L32*Assumptions!L32*(Valuation!$F$30/(Valuation!$F$29+Valuation!$F$30))-(L32-L36)/365*Assumptions!L31-L32*Assumptions!L33-L32*Assumptions!L34</f>
        <v>-4624.8892889002127</v>
      </c>
      <c r="M45" s="46">
        <f>M32/365*Assumptions!M29+(M32-M36)/365*Assumptions!M30+M32*Assumptions!M32*(Valuation!$F$30/(Valuation!$F$29+Valuation!$F$30))-(M32-M36)/365*Assumptions!M31-M32*Assumptions!M33-M32*Assumptions!M34</f>
        <v>-4960.6293437641998</v>
      </c>
      <c r="N45" s="46">
        <f>N32/365*Assumptions!N29+(N32-N36)/365*Assumptions!N30+N32*Assumptions!N32*(Valuation!$F$30/(Valuation!$F$29+Valuation!$F$30))-(N32-N36)/365*Assumptions!N31-N32*Assumptions!N33-N32*Assumptions!N34</f>
        <v>-4977.8875678002951</v>
      </c>
      <c r="O45" s="46">
        <f>O32/365*Assumptions!O29+(O32-O36)/365*Assumptions!O30+O32*Assumptions!O32*(Valuation!$F$30/(Valuation!$F$29+Valuation!$F$30))-(O32-O36)/365*Assumptions!O31-O32*Assumptions!O33-O32*Assumptions!O34</f>
        <v>-5525.7977241583376</v>
      </c>
      <c r="P45" s="46">
        <f>P32/365*Assumptions!P29+(P32-P36)/365*Assumptions!P30+P32*Assumptions!P32*(Valuation!$F$30/(Valuation!$F$29+Valuation!$F$30))-(P32-P36)/365*Assumptions!P31-P32*Assumptions!P33-P32*Assumptions!P34</f>
        <v>-4986.4820073814717</v>
      </c>
    </row>
    <row r="46" spans="3:16" ht="14.1" customHeight="1" x14ac:dyDescent="0.3">
      <c r="C46" s="23" t="s">
        <v>487</v>
      </c>
      <c r="E46" s="45" t="s">
        <v>97</v>
      </c>
      <c r="L46" s="70">
        <f>L45-K45</f>
        <v>866.1107110997873</v>
      </c>
      <c r="M46" s="70">
        <f>M45-L45</f>
        <v>-335.7400548639871</v>
      </c>
      <c r="N46" s="70">
        <f>N45-M45</f>
        <v>-17.258224036095271</v>
      </c>
      <c r="O46" s="70">
        <f>O45-N45</f>
        <v>-547.91015635804251</v>
      </c>
      <c r="P46" s="70">
        <f>P45-O45</f>
        <v>539.31571677686588</v>
      </c>
    </row>
    <row r="47" spans="3:16" ht="14.1" customHeight="1" x14ac:dyDescent="0.3">
      <c r="C47" s="23" t="s">
        <v>486</v>
      </c>
      <c r="E47" s="45" t="s">
        <v>97</v>
      </c>
      <c r="L47" s="46">
        <f>L39*(1-Assumptions!L49)</f>
        <v>2102.7638200000001</v>
      </c>
      <c r="M47" s="46">
        <f>M39*(1-Assumptions!M49)</f>
        <v>2615.4908126905611</v>
      </c>
      <c r="N47" s="46">
        <f>N39*(1-Assumptions!N49)</f>
        <v>3344.2878022461969</v>
      </c>
      <c r="O47" s="46">
        <f>O39*(1-Assumptions!O49)</f>
        <v>4245.3010393352843</v>
      </c>
      <c r="P47" s="46">
        <f>P39*(1-Assumptions!P49)</f>
        <v>5173.9156297492536</v>
      </c>
    </row>
    <row r="48" spans="3:16" ht="14.1" customHeight="1" x14ac:dyDescent="0.3">
      <c r="C48" s="71" t="s">
        <v>484</v>
      </c>
      <c r="D48" s="72"/>
      <c r="E48" s="87" t="s">
        <v>97</v>
      </c>
      <c r="F48" s="72"/>
      <c r="G48" s="72"/>
      <c r="H48" s="72"/>
      <c r="I48" s="72"/>
      <c r="J48" s="72"/>
      <c r="K48" s="72"/>
      <c r="L48" s="263">
        <f>L47+L41-L42-L46</f>
        <v>-2373.604091099789</v>
      </c>
      <c r="M48" s="263">
        <f>M47+M41-M42-M46</f>
        <v>-68.697000925450993</v>
      </c>
      <c r="N48" s="263">
        <f>N47+N41-N42-N46</f>
        <v>575.1375898262886</v>
      </c>
      <c r="O48" s="263">
        <f>O47+O41-O42-O46</f>
        <v>2087.5257872835027</v>
      </c>
      <c r="P48" s="263">
        <f>P47+P41-P42-P46</f>
        <v>2369.8930527770717</v>
      </c>
    </row>
    <row r="49" spans="1:16" ht="14.1" customHeight="1" x14ac:dyDescent="0.3">
      <c r="C49" s="23" t="s">
        <v>595</v>
      </c>
      <c r="E49" s="45" t="s">
        <v>97</v>
      </c>
      <c r="L49" s="46">
        <f>'Loans &amp; Other Income'!L16-'Loans &amp; Other Income'!L11</f>
        <v>324.28499999999991</v>
      </c>
      <c r="M49" s="46">
        <f>'Loans &amp; Other Income'!M16-'Loans &amp; Other Income'!M11</f>
        <v>465.02997252720223</v>
      </c>
      <c r="N49" s="46">
        <f>'Loans &amp; Other Income'!N16-'Loans &amp; Other Income'!N11</f>
        <v>646.19722907711912</v>
      </c>
      <c r="O49" s="46">
        <f>'Loans &amp; Other Income'!O16-'Loans &amp; Other Income'!O11</f>
        <v>711.10657238281306</v>
      </c>
      <c r="P49" s="46">
        <f>'Loans &amp; Other Income'!P16-'Loans &amp; Other Income'!P11</f>
        <v>1016.4461572913513</v>
      </c>
    </row>
    <row r="50" spans="1:16" ht="14.1" customHeight="1" x14ac:dyDescent="0.3">
      <c r="C50" s="71" t="s">
        <v>204</v>
      </c>
      <c r="D50" s="72"/>
      <c r="E50" s="87" t="s">
        <v>97</v>
      </c>
      <c r="F50" s="72"/>
      <c r="G50" s="72"/>
      <c r="H50" s="72"/>
      <c r="I50" s="72"/>
      <c r="J50" s="72"/>
      <c r="K50" s="72"/>
      <c r="L50" s="264">
        <f>(L39+L49)*(1-Assumptions!L49)</f>
        <v>2349.2204200000001</v>
      </c>
      <c r="M50" s="264">
        <f>(M39+M49)*(1-Assumptions!M49)</f>
        <v>2968.9135918112347</v>
      </c>
      <c r="N50" s="264">
        <f>(N39+N49)*(1-Assumptions!N49)</f>
        <v>3835.3976963448076</v>
      </c>
      <c r="O50" s="264">
        <f>(O39+O49)*(1-Assumptions!O49)</f>
        <v>4785.7420343462218</v>
      </c>
      <c r="P50" s="264">
        <f>(P39+P49)*(1-Assumptions!P49)</f>
        <v>5946.4147092906815</v>
      </c>
    </row>
    <row r="51" spans="1:16" ht="14.1" customHeight="1" x14ac:dyDescent="0.3">
      <c r="C51" s="23" t="s">
        <v>496</v>
      </c>
      <c r="L51" s="265">
        <f>Valuation!L41</f>
        <v>0.88983285739747786</v>
      </c>
      <c r="M51" s="265">
        <f>Valuation!M41</f>
        <v>0.79180251410416014</v>
      </c>
      <c r="N51" s="265">
        <f>Valuation!N41</f>
        <v>0.70457189361981154</v>
      </c>
      <c r="O51" s="265">
        <f>Valuation!O41</f>
        <v>0.6269512213416687</v>
      </c>
      <c r="P51" s="265">
        <f>Valuation!P41</f>
        <v>0.55788179673529559</v>
      </c>
    </row>
    <row r="52" spans="1:16" ht="14.1" customHeight="1" x14ac:dyDescent="0.3">
      <c r="C52" s="23" t="s">
        <v>596</v>
      </c>
      <c r="E52" s="45" t="s">
        <v>97</v>
      </c>
      <c r="L52" s="70">
        <f>L48*L51</f>
        <v>-2112.1109107136685</v>
      </c>
      <c r="M52" s="70">
        <f>M48*M51</f>
        <v>-54.394458044187914</v>
      </c>
      <c r="N52" s="70">
        <f>N48*N51</f>
        <v>405.22578075584261</v>
      </c>
      <c r="O52" s="70">
        <f>O48*O51</f>
        <v>1308.7768419196204</v>
      </c>
      <c r="P52" s="70">
        <f>P48*P51</f>
        <v>1322.1201943537674</v>
      </c>
    </row>
    <row r="53" spans="1:16" ht="6" customHeight="1" x14ac:dyDescent="0.3"/>
    <row r="54" spans="1:16" ht="14.4" customHeight="1" x14ac:dyDescent="0.3">
      <c r="C54" s="266" t="s">
        <v>597</v>
      </c>
      <c r="D54" s="84"/>
      <c r="E54" s="84"/>
      <c r="F54" s="84"/>
      <c r="G54" s="84"/>
      <c r="H54" s="84"/>
      <c r="I54" s="84"/>
      <c r="J54" s="84"/>
      <c r="K54" s="267">
        <f>SUM(L52:P52)</f>
        <v>869.61744827137386</v>
      </c>
    </row>
    <row r="55" spans="1:16" ht="14.4" customHeight="1" x14ac:dyDescent="0.3">
      <c r="C55" s="23" t="s">
        <v>598</v>
      </c>
      <c r="K55" s="46">
        <f>P48*(1+Valuation!$F$18)/(Valuation!$F$17-Valuation!$F$18)</f>
        <v>28668.543146518427</v>
      </c>
    </row>
    <row r="56" spans="1:16" ht="14.4" customHeight="1" x14ac:dyDescent="0.3">
      <c r="C56" s="23" t="s">
        <v>599</v>
      </c>
      <c r="K56" s="70">
        <f>K55*P51</f>
        <v>15993.658360363044</v>
      </c>
    </row>
    <row r="57" spans="1:16" ht="14.4" customHeight="1" x14ac:dyDescent="0.3">
      <c r="C57" s="89" t="s">
        <v>497</v>
      </c>
      <c r="K57" s="199">
        <f>K54+K56</f>
        <v>16863.275808634418</v>
      </c>
    </row>
    <row r="58" spans="1:16" ht="14.4" customHeight="1" x14ac:dyDescent="0.3">
      <c r="C58" s="89" t="s">
        <v>600</v>
      </c>
      <c r="K58" s="199">
        <f>K57+Valuation!$K$49-Valuation!$K$50-Valuation!$K$51</f>
        <v>51818.275808634418</v>
      </c>
    </row>
    <row r="59" spans="1:16" ht="14.4" customHeight="1" x14ac:dyDescent="0.3">
      <c r="C59" s="89" t="s">
        <v>601</v>
      </c>
      <c r="K59" s="202">
        <f>K58/Valuation!$K$55</f>
        <v>13.118550837628966</v>
      </c>
    </row>
    <row r="60" spans="1:16" ht="7.95" customHeight="1" x14ac:dyDescent="0.3"/>
    <row r="61" spans="1:16" ht="16.95" customHeight="1" x14ac:dyDescent="0.3">
      <c r="A61" s="24" t="s">
        <v>602</v>
      </c>
      <c r="B61" s="25"/>
      <c r="C61" s="25"/>
      <c r="D61" s="25"/>
      <c r="E61" s="25"/>
      <c r="F61" s="25"/>
      <c r="G61" s="25"/>
      <c r="H61" s="25"/>
      <c r="I61" s="25"/>
      <c r="J61" s="25"/>
      <c r="K61" s="25"/>
      <c r="L61" s="25"/>
      <c r="M61" s="25"/>
      <c r="N61" s="25"/>
      <c r="O61" s="25"/>
      <c r="P61" s="25"/>
    </row>
    <row r="62" spans="1:16" ht="16.05" customHeight="1" x14ac:dyDescent="0.3">
      <c r="K62" s="258" t="str">
        <f>'Revenue Build-up'!K3</f>
        <v>FY25A</v>
      </c>
      <c r="L62" s="259" t="str">
        <f>'Revenue Build-up'!L3</f>
        <v>FY26E</v>
      </c>
      <c r="M62" s="259" t="str">
        <f>'Revenue Build-up'!M3</f>
        <v>FY27E</v>
      </c>
      <c r="N62" s="259" t="str">
        <f>'Revenue Build-up'!N3</f>
        <v>FY28E</v>
      </c>
      <c r="O62" s="259" t="str">
        <f>'Revenue Build-up'!O3</f>
        <v>FY29E</v>
      </c>
      <c r="P62" s="259" t="str">
        <f>'Revenue Build-up'!P3</f>
        <v>FY30E</v>
      </c>
    </row>
    <row r="63" spans="1:16" ht="14.1" customHeight="1" x14ac:dyDescent="0.3">
      <c r="C63" s="23" t="s">
        <v>156</v>
      </c>
      <c r="E63" s="45" t="s">
        <v>91</v>
      </c>
      <c r="K63" s="260">
        <f>'Revenue Build-up'!K5</f>
        <v>1636129</v>
      </c>
      <c r="L63" s="46">
        <f>K63*(1+Assumptions!L69)</f>
        <v>1734296.74</v>
      </c>
      <c r="M63" s="46">
        <f>L63*(1+Assumptions!M69)</f>
        <v>1907726.4140000001</v>
      </c>
      <c r="N63" s="46">
        <f>M63*(1+Assumptions!N69)</f>
        <v>2136653.5836800002</v>
      </c>
      <c r="O63" s="46">
        <f>N63*(1+Assumptions!O69)</f>
        <v>2350318.9420480002</v>
      </c>
      <c r="P63" s="46">
        <f>O63*(1+Assumptions!P69)</f>
        <v>2538344.4574118406</v>
      </c>
    </row>
    <row r="64" spans="1:16" ht="14.1" customHeight="1" x14ac:dyDescent="0.3">
      <c r="C64" s="23" t="s">
        <v>587</v>
      </c>
      <c r="E64" s="45" t="s">
        <v>94</v>
      </c>
      <c r="K64" s="261">
        <f>'Revenue Build-up'!K6</f>
        <v>41276.085198661</v>
      </c>
      <c r="L64" s="49">
        <f>K64*(1+Assumptions!L72)</f>
        <v>40037.802642701172</v>
      </c>
      <c r="M64" s="49">
        <f>L64*(1+Assumptions!M72)</f>
        <v>39237.046589847145</v>
      </c>
      <c r="N64" s="49">
        <f>M64*(1+Assumptions!N72)</f>
        <v>39629.417055745616</v>
      </c>
      <c r="O64" s="49">
        <f>N64*(1+Assumptions!O72)</f>
        <v>40025.711226303072</v>
      </c>
      <c r="P64" s="49">
        <f>O64*(1+Assumptions!P72)</f>
        <v>40826.225450829137</v>
      </c>
    </row>
    <row r="65" spans="3:16" ht="14.1" customHeight="1" x14ac:dyDescent="0.3">
      <c r="C65" s="23" t="s">
        <v>158</v>
      </c>
      <c r="E65" s="45" t="s">
        <v>97</v>
      </c>
      <c r="L65" s="70">
        <f>L63*L64/1000000</f>
        <v>69437.430600000036</v>
      </c>
      <c r="M65" s="70">
        <f>M63*M64/1000000</f>
        <v>74853.550186800028</v>
      </c>
      <c r="N65" s="70">
        <f>N63*N64/1000000</f>
        <v>84674.335971308203</v>
      </c>
      <c r="O65" s="70">
        <f>O63*O64/1000000</f>
        <v>94073.187264123393</v>
      </c>
      <c r="P65" s="70">
        <f>P63*P64/1000000</f>
        <v>103631.02309015836</v>
      </c>
    </row>
    <row r="66" spans="3:16" ht="14.1" customHeight="1" x14ac:dyDescent="0.3">
      <c r="C66" s="23" t="s">
        <v>159</v>
      </c>
      <c r="E66" s="45" t="s">
        <v>97</v>
      </c>
      <c r="K66" s="260">
        <f>'Revenue Build-up'!K8</f>
        <v>1993</v>
      </c>
      <c r="L66" s="46">
        <f>K66*(1+Assumptions!L75)</f>
        <v>1395.1</v>
      </c>
      <c r="M66" s="46">
        <f>L66*(1+Assumptions!M75)</f>
        <v>1116.08</v>
      </c>
      <c r="N66" s="46">
        <f>M66*(1+Assumptions!N75)</f>
        <v>1004.472</v>
      </c>
      <c r="O66" s="46">
        <f>N66*(1+Assumptions!O75)</f>
        <v>954.24839999999995</v>
      </c>
      <c r="P66" s="46">
        <f>O66*(1+Assumptions!P75)</f>
        <v>906.53597999999988</v>
      </c>
    </row>
    <row r="67" spans="3:16" ht="14.1" customHeight="1" x14ac:dyDescent="0.3">
      <c r="C67" s="23" t="s">
        <v>160</v>
      </c>
      <c r="E67" s="45" t="s">
        <v>97</v>
      </c>
      <c r="L67" s="70">
        <f>L65+L66</f>
        <v>70832.530600000042</v>
      </c>
      <c r="M67" s="70">
        <f>M65+M66</f>
        <v>75969.63018680003</v>
      </c>
      <c r="N67" s="70">
        <f>N65+N66</f>
        <v>85678.807971308197</v>
      </c>
      <c r="O67" s="70">
        <f>O65+O66</f>
        <v>95027.43566412339</v>
      </c>
      <c r="P67" s="70">
        <f>P65+P66</f>
        <v>104537.55907015836</v>
      </c>
    </row>
    <row r="68" spans="3:16" ht="14.1" customHeight="1" x14ac:dyDescent="0.3">
      <c r="C68" s="23" t="s">
        <v>161</v>
      </c>
      <c r="E68" s="45" t="s">
        <v>97</v>
      </c>
      <c r="K68" s="260">
        <f>'Revenue Build-up'!K12</f>
        <v>12771</v>
      </c>
      <c r="L68" s="46">
        <f>K68*(1+Assumptions!L81)</f>
        <v>16602.3</v>
      </c>
      <c r="M68" s="46">
        <f>L68*(1+Assumptions!M81)</f>
        <v>20752.875</v>
      </c>
      <c r="N68" s="46">
        <f>M68*(1+Assumptions!N81)</f>
        <v>24903.45</v>
      </c>
      <c r="O68" s="46">
        <f>N68*(1+Assumptions!O81)</f>
        <v>29386.071</v>
      </c>
      <c r="P68" s="46">
        <f>O68*(1+Assumptions!P81)</f>
        <v>33793.981649999994</v>
      </c>
    </row>
    <row r="69" spans="3:16" ht="14.1" customHeight="1" x14ac:dyDescent="0.3">
      <c r="C69" s="23" t="s">
        <v>162</v>
      </c>
      <c r="E69" s="45" t="s">
        <v>97</v>
      </c>
      <c r="K69" s="260">
        <f>'Revenue Build-up'!K15</f>
        <v>12530</v>
      </c>
      <c r="L69" s="46">
        <f>K69*(1+Assumptions!L87)</f>
        <v>14409.499999999998</v>
      </c>
      <c r="M69" s="46">
        <f>L69*(1+Assumptions!M87)</f>
        <v>16426.829999999998</v>
      </c>
      <c r="N69" s="46">
        <f>M69*(1+Assumptions!N87)</f>
        <v>18562.317899999995</v>
      </c>
      <c r="O69" s="46">
        <f>N69*(1+Assumptions!O87)</f>
        <v>20789.796047999997</v>
      </c>
      <c r="P69" s="46">
        <f>O69*(1+Assumptions!P87)</f>
        <v>23076.67361328</v>
      </c>
    </row>
    <row r="70" spans="3:16" ht="14.1" customHeight="1" x14ac:dyDescent="0.3">
      <c r="C70" s="71" t="s">
        <v>163</v>
      </c>
      <c r="D70" s="72"/>
      <c r="E70" s="87" t="s">
        <v>97</v>
      </c>
      <c r="F70" s="72"/>
      <c r="G70" s="72"/>
      <c r="H70" s="72"/>
      <c r="I70" s="72"/>
      <c r="J70" s="72"/>
      <c r="K70" s="262">
        <f>'Revenue Build-up'!K18</f>
        <v>94827.000000000029</v>
      </c>
      <c r="L70" s="263">
        <f>L67+L68+L69</f>
        <v>101844.33060000004</v>
      </c>
      <c r="M70" s="263">
        <f>M67+M68+M69</f>
        <v>113149.33518680003</v>
      </c>
      <c r="N70" s="263">
        <f>N67+N68+N69</f>
        <v>129144.57587130819</v>
      </c>
      <c r="O70" s="263">
        <f>O67+O68+O69</f>
        <v>145203.30271212338</v>
      </c>
      <c r="P70" s="263">
        <f>P67+P68+P69</f>
        <v>161408.21433343834</v>
      </c>
    </row>
    <row r="71" spans="3:16" ht="14.1" customHeight="1" x14ac:dyDescent="0.3">
      <c r="C71" s="23" t="s">
        <v>588</v>
      </c>
      <c r="E71" s="45" t="s">
        <v>97</v>
      </c>
      <c r="L71" s="46">
        <f>L67*Assumptions!L78</f>
        <v>13458.180814000008</v>
      </c>
      <c r="M71" s="46">
        <f>M67*Assumptions!M78</f>
        <v>15193.926037360006</v>
      </c>
      <c r="N71" s="46">
        <f>N67*Assumptions!N78</f>
        <v>17992.549673974721</v>
      </c>
      <c r="O71" s="46">
        <f>O67*Assumptions!O78</f>
        <v>20906.035846107145</v>
      </c>
      <c r="P71" s="46">
        <f>P67*Assumptions!P78</f>
        <v>24043.638586136422</v>
      </c>
    </row>
    <row r="72" spans="3:16" ht="14.1" customHeight="1" x14ac:dyDescent="0.3">
      <c r="C72" s="23" t="s">
        <v>589</v>
      </c>
      <c r="E72" s="45" t="s">
        <v>97</v>
      </c>
      <c r="L72" s="46">
        <f>L68*Assumptions!L84</f>
        <v>4980.6899999999996</v>
      </c>
      <c r="M72" s="46">
        <f>M68*Assumptions!M84</f>
        <v>6433.3912499999997</v>
      </c>
      <c r="N72" s="46">
        <f>N68*Assumptions!N84</f>
        <v>7969.1040000000003</v>
      </c>
      <c r="O72" s="46">
        <f>O68*Assumptions!O84</f>
        <v>9403.5427199999995</v>
      </c>
      <c r="P72" s="46">
        <f>P68*Assumptions!P84</f>
        <v>10814.074127999998</v>
      </c>
    </row>
    <row r="73" spans="3:16" ht="14.1" customHeight="1" x14ac:dyDescent="0.3">
      <c r="C73" s="23" t="s">
        <v>590</v>
      </c>
      <c r="E73" s="45" t="s">
        <v>97</v>
      </c>
      <c r="L73" s="46">
        <f>L69*Assumptions!L90</f>
        <v>1729.1399999999996</v>
      </c>
      <c r="M73" s="46">
        <f>M69*Assumptions!M90</f>
        <v>2135.4878999999996</v>
      </c>
      <c r="N73" s="46">
        <f>N69*Assumptions!N90</f>
        <v>2598.7245059999996</v>
      </c>
      <c r="O73" s="46">
        <f>O69*Assumptions!O90</f>
        <v>3118.4694071999993</v>
      </c>
      <c r="P73" s="46">
        <f>P69*Assumptions!P90</f>
        <v>3461.501041992</v>
      </c>
    </row>
    <row r="74" spans="3:16" ht="14.1" customHeight="1" x14ac:dyDescent="0.3">
      <c r="C74" s="71" t="s">
        <v>189</v>
      </c>
      <c r="D74" s="72"/>
      <c r="E74" s="87" t="s">
        <v>97</v>
      </c>
      <c r="F74" s="72"/>
      <c r="G74" s="72"/>
      <c r="H74" s="72"/>
      <c r="I74" s="72"/>
      <c r="J74" s="72"/>
      <c r="K74" s="72"/>
      <c r="L74" s="263">
        <f>SUM(L71:L73)</f>
        <v>20168.010814000008</v>
      </c>
      <c r="M74" s="263">
        <f>SUM(M71:M73)</f>
        <v>23762.805187360005</v>
      </c>
      <c r="N74" s="263">
        <f>SUM(N71:N73)</f>
        <v>28560.378179974719</v>
      </c>
      <c r="O74" s="263">
        <f>SUM(O71:O73)</f>
        <v>33428.047973307141</v>
      </c>
      <c r="P74" s="263">
        <f>SUM(P71:P73)</f>
        <v>38319.213756128418</v>
      </c>
    </row>
    <row r="75" spans="3:16" ht="14.1" customHeight="1" x14ac:dyDescent="0.3">
      <c r="C75" s="23" t="s">
        <v>591</v>
      </c>
      <c r="E75" s="45" t="s">
        <v>97</v>
      </c>
      <c r="L75" s="46">
        <f>L70*Assumptions!L93</f>
        <v>7129.1031420000036</v>
      </c>
      <c r="M75" s="46">
        <f>M70*Assumptions!M93</f>
        <v>7920.4534630760027</v>
      </c>
      <c r="N75" s="46">
        <f>N70*Assumptions!N93</f>
        <v>8394.3974316350323</v>
      </c>
      <c r="O75" s="46">
        <f>O70*Assumptions!O93</f>
        <v>8712.1981627274017</v>
      </c>
      <c r="P75" s="46">
        <f>P70*Assumptions!P93</f>
        <v>9684.4928600062995</v>
      </c>
    </row>
    <row r="76" spans="3:16" ht="14.1" customHeight="1" x14ac:dyDescent="0.3">
      <c r="C76" s="23" t="s">
        <v>592</v>
      </c>
      <c r="E76" s="45" t="s">
        <v>97</v>
      </c>
      <c r="L76" s="46">
        <f>L70*Assumptions!L96</f>
        <v>6110.6598360000025</v>
      </c>
      <c r="M76" s="46">
        <f>M70*Assumptions!M96</f>
        <v>6562.6614408344021</v>
      </c>
      <c r="N76" s="46">
        <f>N70*Assumptions!N96</f>
        <v>7102.9516729219504</v>
      </c>
      <c r="O76" s="46">
        <f>O70*Assumptions!O96</f>
        <v>7695.7750437425384</v>
      </c>
      <c r="P76" s="46">
        <f>P70*Assumptions!P96</f>
        <v>8070.4107166719177</v>
      </c>
    </row>
    <row r="77" spans="3:16" ht="14.1" customHeight="1" x14ac:dyDescent="0.3">
      <c r="C77" s="71" t="s">
        <v>191</v>
      </c>
      <c r="D77" s="72"/>
      <c r="E77" s="87" t="s">
        <v>97</v>
      </c>
      <c r="F77" s="72"/>
      <c r="G77" s="72"/>
      <c r="H77" s="72"/>
      <c r="I77" s="72"/>
      <c r="J77" s="72"/>
      <c r="K77" s="72"/>
      <c r="L77" s="263">
        <f>L74-L75-L76</f>
        <v>6928.2478360000023</v>
      </c>
      <c r="M77" s="263">
        <f>M74-M75-M76</f>
        <v>9279.6902834495995</v>
      </c>
      <c r="N77" s="263">
        <f>N74-N75-N76</f>
        <v>13063.029075417737</v>
      </c>
      <c r="O77" s="263">
        <f>O74-O75-O76</f>
        <v>17020.074766837202</v>
      </c>
      <c r="P77" s="263">
        <f>P74-P75-P76</f>
        <v>20564.3101794502</v>
      </c>
    </row>
    <row r="78" spans="3:16" ht="14.1" customHeight="1" x14ac:dyDescent="0.3">
      <c r="C78" s="23" t="s">
        <v>242</v>
      </c>
      <c r="E78" s="45" t="s">
        <v>97</v>
      </c>
      <c r="L78" s="70">
        <f>K81</f>
        <v>40643</v>
      </c>
      <c r="M78" s="70">
        <f>L81</f>
        <v>44121.338060000002</v>
      </c>
      <c r="N78" s="70">
        <f>M81</f>
        <v>47811.110813146006</v>
      </c>
      <c r="O78" s="70">
        <f>N81</f>
        <v>52023.400465526116</v>
      </c>
      <c r="P78" s="70">
        <f>O81</f>
        <v>56562.171126227688</v>
      </c>
    </row>
    <row r="79" spans="3:16" ht="14.1" customHeight="1" x14ac:dyDescent="0.3">
      <c r="C79" s="23" t="s">
        <v>593</v>
      </c>
      <c r="E79" s="45" t="s">
        <v>97</v>
      </c>
      <c r="L79" s="46">
        <f>L78*Assumptions!L42</f>
        <v>6706.0950000000003</v>
      </c>
      <c r="M79" s="46">
        <f>M78*Assumptions!M42</f>
        <v>7059.4140896000008</v>
      </c>
      <c r="N79" s="46">
        <f>N78*Assumptions!N42</f>
        <v>7410.7221760376306</v>
      </c>
      <c r="O79" s="46">
        <f>O78*Assumptions!O42</f>
        <v>7803.510069828917</v>
      </c>
      <c r="P79" s="46">
        <f>P78*Assumptions!P42</f>
        <v>8484.3256689341524</v>
      </c>
    </row>
    <row r="80" spans="3:16" ht="14.1" customHeight="1" x14ac:dyDescent="0.3">
      <c r="C80" s="23" t="s">
        <v>243</v>
      </c>
      <c r="E80" s="45" t="s">
        <v>97</v>
      </c>
      <c r="L80" s="46">
        <f>L70*Assumptions!L99</f>
        <v>10184.433060000005</v>
      </c>
      <c r="M80" s="46">
        <f>M70*Assumptions!M99</f>
        <v>10749.186842746003</v>
      </c>
      <c r="N80" s="46">
        <f>N70*Assumptions!N99</f>
        <v>11623.011828417737</v>
      </c>
      <c r="O80" s="46">
        <f>O70*Assumptions!O99</f>
        <v>12342.280730530489</v>
      </c>
      <c r="P80" s="46">
        <f>P70*Assumptions!P99</f>
        <v>12912.657146675068</v>
      </c>
    </row>
    <row r="81" spans="3:16" ht="14.1" customHeight="1" x14ac:dyDescent="0.3">
      <c r="C81" s="23" t="s">
        <v>246</v>
      </c>
      <c r="E81" s="45" t="s">
        <v>97</v>
      </c>
      <c r="K81" s="260">
        <f>'Asset Schedule'!K9</f>
        <v>40643</v>
      </c>
      <c r="L81" s="70">
        <f>L78-L79+L80</f>
        <v>44121.338060000002</v>
      </c>
      <c r="M81" s="70">
        <f>M78-M79+M80</f>
        <v>47811.110813146006</v>
      </c>
      <c r="N81" s="70">
        <f>N78-N79+N80</f>
        <v>52023.400465526116</v>
      </c>
      <c r="O81" s="70">
        <f>O78-O79+O80</f>
        <v>56562.171126227688</v>
      </c>
      <c r="P81" s="70">
        <f>P78-P79+P80</f>
        <v>60990.502603968605</v>
      </c>
    </row>
    <row r="82" spans="3:16" ht="14.1" customHeight="1" x14ac:dyDescent="0.3">
      <c r="C82" s="71" t="s">
        <v>194</v>
      </c>
      <c r="D82" s="72"/>
      <c r="E82" s="87" t="s">
        <v>97</v>
      </c>
      <c r="F82" s="72"/>
      <c r="G82" s="72"/>
      <c r="H82" s="72"/>
      <c r="I82" s="72"/>
      <c r="J82" s="72"/>
      <c r="K82" s="72"/>
      <c r="L82" s="263">
        <f>L77+L79</f>
        <v>13634.342836000003</v>
      </c>
      <c r="M82" s="263">
        <f>M77+M79</f>
        <v>16339.1043730496</v>
      </c>
      <c r="N82" s="263">
        <f>N77+N79</f>
        <v>20473.751251455367</v>
      </c>
      <c r="O82" s="263">
        <f>O77+O79</f>
        <v>24823.584836666119</v>
      </c>
      <c r="P82" s="263">
        <f>P77+P79</f>
        <v>29048.635848384351</v>
      </c>
    </row>
    <row r="83" spans="3:16" ht="14.1" customHeight="1" x14ac:dyDescent="0.3">
      <c r="C83" s="23" t="s">
        <v>594</v>
      </c>
      <c r="E83" s="45" t="s">
        <v>97</v>
      </c>
      <c r="K83" s="260">
        <f>BS!K6+BS!K7+Valuation!$F$30-BS!K17-BS!K18-BS!K19</f>
        <v>-5491</v>
      </c>
      <c r="L83" s="46">
        <f>L70/365*Assumptions!L29+(L70-L74)/365*Assumptions!L30+L70*Assumptions!L32*(Valuation!$F$30/(Valuation!$F$29+Valuation!$F$30))-(L70-L74)/365*Assumptions!L31-L70*Assumptions!L33-L70*Assumptions!L34</f>
        <v>-4966.606870076841</v>
      </c>
      <c r="M83" s="46">
        <f>M70/365*Assumptions!M29+(M70-M74)/365*Assumptions!M30+M70*Assumptions!M32*(Valuation!$F$30/(Valuation!$F$29+Valuation!$F$30))-(M70-M74)/365*Assumptions!M31-M70*Assumptions!M33-M70*Assumptions!M34</f>
        <v>-5736.6427176308825</v>
      </c>
      <c r="N83" s="46">
        <f>N70/365*Assumptions!N29+(N70-N74)/365*Assumptions!N30+N70*Assumptions!N32*(Valuation!$F$30/(Valuation!$F$29+Valuation!$F$30))-(N70-N74)/365*Assumptions!N31-N70*Assumptions!N33-N70*Assumptions!N34</f>
        <v>-6216.1066869952956</v>
      </c>
      <c r="O83" s="46">
        <f>O70/365*Assumptions!O29+(O70-O74)/365*Assumptions!O30+O70*Assumptions!O32*(Valuation!$F$30/(Valuation!$F$29+Valuation!$F$30))-(O70-O74)/365*Assumptions!O31-O70*Assumptions!O33-O70*Assumptions!O34</f>
        <v>-7250.9907331054419</v>
      </c>
      <c r="P83" s="46">
        <f>P70/365*Assumptions!P29+(P70-P74)/365*Assumptions!P30+P70*Assumptions!P32*(Valuation!$F$30/(Valuation!$F$29+Valuation!$F$30))-(P70-P74)/365*Assumptions!P31-P70*Assumptions!P33-P70*Assumptions!P34</f>
        <v>-6865.4463494515285</v>
      </c>
    </row>
    <row r="84" spans="3:16" ht="14.1" customHeight="1" x14ac:dyDescent="0.3">
      <c r="C84" s="23" t="s">
        <v>487</v>
      </c>
      <c r="E84" s="45" t="s">
        <v>97</v>
      </c>
      <c r="L84" s="70">
        <f>L83-K83</f>
        <v>524.39312992315899</v>
      </c>
      <c r="M84" s="70">
        <f>M83-L83</f>
        <v>-770.03584755404154</v>
      </c>
      <c r="N84" s="70">
        <f>N83-M83</f>
        <v>-479.46396936441306</v>
      </c>
      <c r="O84" s="70">
        <f>O83-N83</f>
        <v>-1034.8840461101463</v>
      </c>
      <c r="P84" s="70">
        <f>P83-O83</f>
        <v>385.54438365391343</v>
      </c>
    </row>
    <row r="85" spans="3:16" ht="14.1" customHeight="1" x14ac:dyDescent="0.3">
      <c r="C85" s="23" t="s">
        <v>486</v>
      </c>
      <c r="E85" s="45" t="s">
        <v>97</v>
      </c>
      <c r="L85" s="46">
        <f>L77*(1-Assumptions!L49)</f>
        <v>5265.4683553600016</v>
      </c>
      <c r="M85" s="46">
        <f>M77*(1-Assumptions!M49)</f>
        <v>7052.5646154216956</v>
      </c>
      <c r="N85" s="46">
        <f>N77*(1-Assumptions!N49)</f>
        <v>9927.9020973174793</v>
      </c>
      <c r="O85" s="46">
        <f>O77*(1-Assumptions!O49)</f>
        <v>12935.256822796275</v>
      </c>
      <c r="P85" s="46">
        <f>P77*(1-Assumptions!P49)</f>
        <v>15628.875736382151</v>
      </c>
    </row>
    <row r="86" spans="3:16" ht="14.1" customHeight="1" x14ac:dyDescent="0.3">
      <c r="C86" s="71" t="s">
        <v>484</v>
      </c>
      <c r="D86" s="72"/>
      <c r="E86" s="87" t="s">
        <v>97</v>
      </c>
      <c r="F86" s="72"/>
      <c r="G86" s="72"/>
      <c r="H86" s="72"/>
      <c r="I86" s="72"/>
      <c r="J86" s="72"/>
      <c r="K86" s="72"/>
      <c r="L86" s="263">
        <f>L85+L79-L80-L84</f>
        <v>1262.737165436838</v>
      </c>
      <c r="M86" s="263">
        <f>M85+M79-M80-M84</f>
        <v>4132.8277098297349</v>
      </c>
      <c r="N86" s="263">
        <f>N85+N79-N80-N84</f>
        <v>6195.0764143017877</v>
      </c>
      <c r="O86" s="263">
        <f>O85+O79-O80-O84</f>
        <v>9431.3702082048512</v>
      </c>
      <c r="P86" s="263">
        <f>P85+P79-P80-P84</f>
        <v>10814.999874987323</v>
      </c>
    </row>
    <row r="87" spans="3:16" ht="14.1" customHeight="1" x14ac:dyDescent="0.3">
      <c r="C87" s="23" t="s">
        <v>595</v>
      </c>
      <c r="E87" s="45" t="s">
        <v>97</v>
      </c>
      <c r="L87" s="46">
        <f>'Loans &amp; Other Income'!L16-'Loans &amp; Other Income'!L11</f>
        <v>324.28499999999991</v>
      </c>
      <c r="M87" s="46">
        <f>'Loans &amp; Other Income'!M16-'Loans &amp; Other Income'!M11</f>
        <v>465.02997252720223</v>
      </c>
      <c r="N87" s="46">
        <f>'Loans &amp; Other Income'!N16-'Loans &amp; Other Income'!N11</f>
        <v>646.19722907711912</v>
      </c>
      <c r="O87" s="46">
        <f>'Loans &amp; Other Income'!O16-'Loans &amp; Other Income'!O11</f>
        <v>711.10657238281306</v>
      </c>
      <c r="P87" s="46">
        <f>'Loans &amp; Other Income'!P16-'Loans &amp; Other Income'!P11</f>
        <v>1016.4461572913513</v>
      </c>
    </row>
    <row r="88" spans="3:16" ht="14.1" customHeight="1" x14ac:dyDescent="0.3">
      <c r="C88" s="71" t="s">
        <v>204</v>
      </c>
      <c r="D88" s="72"/>
      <c r="E88" s="87" t="s">
        <v>97</v>
      </c>
      <c r="F88" s="72"/>
      <c r="G88" s="72"/>
      <c r="H88" s="72"/>
      <c r="I88" s="72"/>
      <c r="J88" s="72"/>
      <c r="K88" s="72"/>
      <c r="L88" s="264">
        <f>(L77+L87)*(1-Assumptions!L49)</f>
        <v>5511.9249553600021</v>
      </c>
      <c r="M88" s="264">
        <f>(M77+M87)*(1-Assumptions!M49)</f>
        <v>7405.9873945423687</v>
      </c>
      <c r="N88" s="264">
        <f>(N77+N87)*(1-Assumptions!N49)</f>
        <v>10419.011991416091</v>
      </c>
      <c r="O88" s="264">
        <f>(O77+O87)*(1-Assumptions!O49)</f>
        <v>13475.697817807213</v>
      </c>
      <c r="P88" s="264">
        <f>(P77+P87)*(1-Assumptions!P49)</f>
        <v>16401.374815923577</v>
      </c>
    </row>
    <row r="89" spans="3:16" ht="14.1" customHeight="1" x14ac:dyDescent="0.3">
      <c r="C89" s="23" t="s">
        <v>496</v>
      </c>
      <c r="L89" s="265">
        <f>Valuation!L41</f>
        <v>0.88983285739747786</v>
      </c>
      <c r="M89" s="265">
        <f>Valuation!M41</f>
        <v>0.79180251410416014</v>
      </c>
      <c r="N89" s="265">
        <f>Valuation!N41</f>
        <v>0.70457189361981154</v>
      </c>
      <c r="O89" s="265">
        <f>Valuation!O41</f>
        <v>0.6269512213416687</v>
      </c>
      <c r="P89" s="265">
        <f>Valuation!P41</f>
        <v>0.55788179673529559</v>
      </c>
    </row>
    <row r="90" spans="3:16" ht="14.1" customHeight="1" x14ac:dyDescent="0.3">
      <c r="C90" s="23" t="s">
        <v>596</v>
      </c>
      <c r="E90" s="45" t="s">
        <v>97</v>
      </c>
      <c r="L90" s="70">
        <f>L86*L89</f>
        <v>1123.6250200626532</v>
      </c>
      <c r="M90" s="70">
        <f>M86*M89</f>
        <v>3272.3833710025224</v>
      </c>
      <c r="N90" s="70">
        <f>N86*N89</f>
        <v>4364.876720344043</v>
      </c>
      <c r="O90" s="70">
        <f>O86*O89</f>
        <v>5913.0090709594597</v>
      </c>
      <c r="P90" s="70">
        <f>P86*P89</f>
        <v>6033.4915619499252</v>
      </c>
    </row>
    <row r="91" spans="3:16" ht="6" customHeight="1" x14ac:dyDescent="0.3"/>
    <row r="92" spans="3:16" ht="14.4" customHeight="1" x14ac:dyDescent="0.3">
      <c r="C92" s="266" t="s">
        <v>597</v>
      </c>
      <c r="D92" s="84"/>
      <c r="E92" s="84"/>
      <c r="F92" s="84"/>
      <c r="G92" s="84"/>
      <c r="H92" s="84"/>
      <c r="I92" s="84"/>
      <c r="J92" s="84"/>
      <c r="K92" s="267">
        <f>SUM(L90:P90)</f>
        <v>20707.385744318603</v>
      </c>
    </row>
    <row r="93" spans="3:16" ht="14.4" customHeight="1" x14ac:dyDescent="0.3">
      <c r="C93" s="23" t="s">
        <v>598</v>
      </c>
      <c r="K93" s="46">
        <f>P86*(1+Valuation!$F$18)/(Valuation!$F$17-Valuation!$F$18)</f>
        <v>130828.81110704319</v>
      </c>
    </row>
    <row r="94" spans="3:16" ht="14.4" customHeight="1" x14ac:dyDescent="0.3">
      <c r="C94" s="23" t="s">
        <v>599</v>
      </c>
      <c r="K94" s="70">
        <f>K93*P89</f>
        <v>72987.01220513985</v>
      </c>
    </row>
    <row r="95" spans="3:16" ht="14.4" customHeight="1" x14ac:dyDescent="0.3">
      <c r="C95" s="89" t="s">
        <v>497</v>
      </c>
      <c r="K95" s="199">
        <f>K92+K94</f>
        <v>93694.397949458449</v>
      </c>
    </row>
    <row r="96" spans="3:16" ht="14.4" customHeight="1" x14ac:dyDescent="0.3">
      <c r="C96" s="89" t="s">
        <v>600</v>
      </c>
      <c r="K96" s="199">
        <f>K95+Valuation!$K$49-Valuation!$K$50-Valuation!$K$51</f>
        <v>128649.39794945845</v>
      </c>
    </row>
    <row r="97" spans="1:16" ht="14.4" customHeight="1" x14ac:dyDescent="0.3">
      <c r="C97" s="89" t="s">
        <v>601</v>
      </c>
      <c r="K97" s="202">
        <f>K96/Valuation!$K$55</f>
        <v>32.569467835305936</v>
      </c>
    </row>
    <row r="98" spans="1:16" ht="7.95" customHeight="1" x14ac:dyDescent="0.3"/>
    <row r="99" spans="1:16" ht="16.95" customHeight="1" x14ac:dyDescent="0.3">
      <c r="A99" s="24" t="s">
        <v>603</v>
      </c>
      <c r="B99" s="25"/>
      <c r="C99" s="25"/>
      <c r="D99" s="25"/>
      <c r="E99" s="25"/>
      <c r="F99" s="25"/>
      <c r="G99" s="25"/>
      <c r="H99" s="25"/>
      <c r="I99" s="25"/>
      <c r="J99" s="25"/>
      <c r="K99" s="25"/>
      <c r="L99" s="25"/>
      <c r="M99" s="25"/>
      <c r="N99" s="25"/>
      <c r="O99" s="25"/>
      <c r="P99" s="25"/>
    </row>
    <row r="100" spans="1:16" ht="16.05" customHeight="1" x14ac:dyDescent="0.3">
      <c r="K100" s="258" t="str">
        <f>'Revenue Build-up'!K3</f>
        <v>FY25A</v>
      </c>
      <c r="L100" s="259" t="str">
        <f>'Revenue Build-up'!L3</f>
        <v>FY26E</v>
      </c>
      <c r="M100" s="259" t="str">
        <f>'Revenue Build-up'!M3</f>
        <v>FY27E</v>
      </c>
      <c r="N100" s="259" t="str">
        <f>'Revenue Build-up'!N3</f>
        <v>FY28E</v>
      </c>
      <c r="O100" s="259" t="str">
        <f>'Revenue Build-up'!O3</f>
        <v>FY29E</v>
      </c>
      <c r="P100" s="259" t="str">
        <f>'Revenue Build-up'!P3</f>
        <v>FY30E</v>
      </c>
    </row>
    <row r="101" spans="1:16" ht="14.1" customHeight="1" x14ac:dyDescent="0.3">
      <c r="C101" s="23" t="s">
        <v>156</v>
      </c>
      <c r="E101" s="45" t="s">
        <v>91</v>
      </c>
      <c r="K101" s="260">
        <f>'Revenue Build-up'!K5</f>
        <v>1636129</v>
      </c>
      <c r="L101" s="46">
        <f>K101*(1+Assumptions!L70)</f>
        <v>1799741.9000000001</v>
      </c>
      <c r="M101" s="46">
        <f>L101*(1+Assumptions!M70)</f>
        <v>2069703.1850000001</v>
      </c>
      <c r="N101" s="46">
        <f>M101*(1+Assumptions!N70)</f>
        <v>2421552.72645</v>
      </c>
      <c r="O101" s="46">
        <f>N101*(1+Assumptions!O70)</f>
        <v>2760570.1081530005</v>
      </c>
      <c r="P101" s="46">
        <f>O101*(1+Assumptions!P70)</f>
        <v>3091838.5211313609</v>
      </c>
    </row>
    <row r="102" spans="1:16" ht="14.1" customHeight="1" x14ac:dyDescent="0.3">
      <c r="C102" s="23" t="s">
        <v>587</v>
      </c>
      <c r="E102" s="45" t="s">
        <v>94</v>
      </c>
      <c r="K102" s="261">
        <f>'Revenue Build-up'!K6</f>
        <v>41276.085198661</v>
      </c>
      <c r="L102" s="49">
        <f>K102*(1+Assumptions!L73)</f>
        <v>40863.324346674388</v>
      </c>
      <c r="M102" s="49">
        <f>L102*(1+Assumptions!M73)</f>
        <v>40863.324346674388</v>
      </c>
      <c r="N102" s="49">
        <f>M102*(1+Assumptions!N73)</f>
        <v>41680.590833607879</v>
      </c>
      <c r="O102" s="49">
        <f>N102*(1+Assumptions!O73)</f>
        <v>42514.202650280036</v>
      </c>
      <c r="P102" s="49">
        <f>O102*(1+Assumptions!P73)</f>
        <v>43789.628729788441</v>
      </c>
    </row>
    <row r="103" spans="1:16" ht="14.1" customHeight="1" x14ac:dyDescent="0.3">
      <c r="C103" s="23" t="s">
        <v>158</v>
      </c>
      <c r="E103" s="45" t="s">
        <v>97</v>
      </c>
      <c r="L103" s="70">
        <f>L101*L102/1000000</f>
        <v>73543.437000000034</v>
      </c>
      <c r="M103" s="70">
        <f>M101*M102/1000000</f>
        <v>84574.952550000031</v>
      </c>
      <c r="N103" s="70">
        <f>N101*N102/1000000</f>
        <v>100931.74837317005</v>
      </c>
      <c r="O103" s="70">
        <f>O101*O102/1000000</f>
        <v>117363.43700832214</v>
      </c>
      <c r="P103" s="70">
        <f>P101*P102/1000000</f>
        <v>135390.46093280046</v>
      </c>
    </row>
    <row r="104" spans="1:16" ht="14.1" customHeight="1" x14ac:dyDescent="0.3">
      <c r="C104" s="23" t="s">
        <v>159</v>
      </c>
      <c r="E104" s="45" t="s">
        <v>97</v>
      </c>
      <c r="K104" s="260">
        <f>'Revenue Build-up'!K8</f>
        <v>1993</v>
      </c>
      <c r="L104" s="46">
        <f>K104*(1+Assumptions!L76)</f>
        <v>1494.75</v>
      </c>
      <c r="M104" s="46">
        <f>L104*(1+Assumptions!M76)</f>
        <v>1270.5374999999999</v>
      </c>
      <c r="N104" s="46">
        <f>M104*(1+Assumptions!N76)</f>
        <v>1207.0106249999999</v>
      </c>
      <c r="O104" s="46">
        <f>N104*(1+Assumptions!O76)</f>
        <v>1207.0106249999999</v>
      </c>
      <c r="P104" s="46">
        <f>O104*(1+Assumptions!P76)</f>
        <v>1207.0106249999999</v>
      </c>
    </row>
    <row r="105" spans="1:16" ht="14.1" customHeight="1" x14ac:dyDescent="0.3">
      <c r="C105" s="23" t="s">
        <v>160</v>
      </c>
      <c r="E105" s="45" t="s">
        <v>97</v>
      </c>
      <c r="L105" s="70">
        <f>L103+L104</f>
        <v>75038.187000000034</v>
      </c>
      <c r="M105" s="70">
        <f>M103+M104</f>
        <v>85845.490050000037</v>
      </c>
      <c r="N105" s="70">
        <f>N103+N104</f>
        <v>102138.75899817004</v>
      </c>
      <c r="O105" s="70">
        <f>O103+O104</f>
        <v>118570.44763332214</v>
      </c>
      <c r="P105" s="70">
        <f>P103+P104</f>
        <v>136597.47155780045</v>
      </c>
    </row>
    <row r="106" spans="1:16" ht="14.1" customHeight="1" x14ac:dyDescent="0.3">
      <c r="C106" s="23" t="s">
        <v>161</v>
      </c>
      <c r="E106" s="45" t="s">
        <v>97</v>
      </c>
      <c r="K106" s="260">
        <f>'Revenue Build-up'!K12</f>
        <v>12771</v>
      </c>
      <c r="L106" s="46">
        <f>K106*(1+Assumptions!L82)</f>
        <v>17623.98</v>
      </c>
      <c r="M106" s="46">
        <f>L106*(1+Assumptions!M82)</f>
        <v>23263.653600000001</v>
      </c>
      <c r="N106" s="46">
        <f>M106*(1+Assumptions!N82)</f>
        <v>29544.840072000003</v>
      </c>
      <c r="O106" s="46">
        <f>N106*(1+Assumptions!O82)</f>
        <v>36340.153288560003</v>
      </c>
      <c r="P106" s="46">
        <f>O106*(1+Assumptions!P82)</f>
        <v>43608.183946272002</v>
      </c>
    </row>
    <row r="107" spans="1:16" ht="14.1" customHeight="1" x14ac:dyDescent="0.3">
      <c r="C107" s="23" t="s">
        <v>162</v>
      </c>
      <c r="E107" s="45" t="s">
        <v>97</v>
      </c>
      <c r="K107" s="260">
        <f>'Revenue Build-up'!K15</f>
        <v>12530</v>
      </c>
      <c r="L107" s="46">
        <f>K107*(1+Assumptions!L88)</f>
        <v>14785.4</v>
      </c>
      <c r="M107" s="46">
        <f>L107*(1+Assumptions!M88)</f>
        <v>17298.917999999998</v>
      </c>
      <c r="N107" s="46">
        <f>M107*(1+Assumptions!N88)</f>
        <v>20066.744879999995</v>
      </c>
      <c r="O107" s="46">
        <f>N107*(1+Assumptions!O88)</f>
        <v>23076.756611999994</v>
      </c>
      <c r="P107" s="46">
        <f>O107*(1+Assumptions!P88)</f>
        <v>26307.502537679997</v>
      </c>
    </row>
    <row r="108" spans="1:16" ht="14.1" customHeight="1" x14ac:dyDescent="0.3">
      <c r="C108" s="71" t="s">
        <v>163</v>
      </c>
      <c r="D108" s="72"/>
      <c r="E108" s="87" t="s">
        <v>97</v>
      </c>
      <c r="F108" s="72"/>
      <c r="G108" s="72"/>
      <c r="H108" s="72"/>
      <c r="I108" s="72"/>
      <c r="J108" s="72"/>
      <c r="K108" s="262">
        <f>'Revenue Build-up'!K18</f>
        <v>94827.000000000029</v>
      </c>
      <c r="L108" s="263">
        <f>L105+L106+L107</f>
        <v>107447.56700000002</v>
      </c>
      <c r="M108" s="263">
        <f>M105+M106+M107</f>
        <v>126408.06165000005</v>
      </c>
      <c r="N108" s="263">
        <f>N105+N106+N107</f>
        <v>151750.34395017003</v>
      </c>
      <c r="O108" s="263">
        <f>O105+O106+O107</f>
        <v>177987.35753388214</v>
      </c>
      <c r="P108" s="263">
        <f>P105+P106+P107</f>
        <v>206513.15804175247</v>
      </c>
    </row>
    <row r="109" spans="1:16" ht="14.1" customHeight="1" x14ac:dyDescent="0.3">
      <c r="C109" s="23" t="s">
        <v>588</v>
      </c>
      <c r="E109" s="45" t="s">
        <v>97</v>
      </c>
      <c r="L109" s="46">
        <f>L105*Assumptions!L79</f>
        <v>15758.019270000006</v>
      </c>
      <c r="M109" s="46">
        <f>M105*Assumptions!M79</f>
        <v>19744.462711500008</v>
      </c>
      <c r="N109" s="46">
        <f>N105*Assumptions!N79</f>
        <v>25023.995954551661</v>
      </c>
      <c r="O109" s="46">
        <f>O105*Assumptions!O79</f>
        <v>30235.464146497146</v>
      </c>
      <c r="P109" s="46">
        <f>P105*Assumptions!P79</f>
        <v>35515.34260502812</v>
      </c>
    </row>
    <row r="110" spans="1:16" ht="14.1" customHeight="1" x14ac:dyDescent="0.3">
      <c r="C110" s="23" t="s">
        <v>589</v>
      </c>
      <c r="E110" s="45" t="s">
        <v>97</v>
      </c>
      <c r="L110" s="46">
        <f>L106*Assumptions!L85</f>
        <v>5639.6736000000001</v>
      </c>
      <c r="M110" s="46">
        <f>M106*Assumptions!M85</f>
        <v>7677.0056880000011</v>
      </c>
      <c r="N110" s="46">
        <f>N106*Assumptions!N85</f>
        <v>10045.245624480001</v>
      </c>
      <c r="O110" s="46">
        <f>O106*Assumptions!O85</f>
        <v>12719.053650996</v>
      </c>
      <c r="P110" s="46">
        <f>P106*Assumptions!P85</f>
        <v>15262.864381195199</v>
      </c>
    </row>
    <row r="111" spans="1:16" ht="14.1" customHeight="1" x14ac:dyDescent="0.3">
      <c r="C111" s="23" t="s">
        <v>590</v>
      </c>
      <c r="E111" s="45" t="s">
        <v>97</v>
      </c>
      <c r="L111" s="46">
        <f>L107*Assumptions!L91</f>
        <v>2069.9560000000001</v>
      </c>
      <c r="M111" s="46">
        <f>M107*Assumptions!M91</f>
        <v>2681.3322899999998</v>
      </c>
      <c r="N111" s="46">
        <f>N107*Assumptions!N91</f>
        <v>3411.3466295999992</v>
      </c>
      <c r="O111" s="46">
        <f>O107*Assumptions!O91</f>
        <v>4153.8161901599988</v>
      </c>
      <c r="P111" s="46">
        <f>P107*Assumptions!P91</f>
        <v>4998.4254821591994</v>
      </c>
    </row>
    <row r="112" spans="1:16" ht="14.1" customHeight="1" x14ac:dyDescent="0.3">
      <c r="C112" s="71" t="s">
        <v>189</v>
      </c>
      <c r="D112" s="72"/>
      <c r="E112" s="87" t="s">
        <v>97</v>
      </c>
      <c r="F112" s="72"/>
      <c r="G112" s="72"/>
      <c r="H112" s="72"/>
      <c r="I112" s="72"/>
      <c r="J112" s="72"/>
      <c r="K112" s="72"/>
      <c r="L112" s="263">
        <f>SUM(L109:L111)</f>
        <v>23467.648870000005</v>
      </c>
      <c r="M112" s="263">
        <f>SUM(M109:M111)</f>
        <v>30102.800689500007</v>
      </c>
      <c r="N112" s="263">
        <f>SUM(N109:N111)</f>
        <v>38480.588208631656</v>
      </c>
      <c r="O112" s="263">
        <f>SUM(O109:O111)</f>
        <v>47108.333987653139</v>
      </c>
      <c r="P112" s="263">
        <f>SUM(P109:P111)</f>
        <v>55776.632468382515</v>
      </c>
    </row>
    <row r="113" spans="3:16" ht="14.1" customHeight="1" x14ac:dyDescent="0.3">
      <c r="C113" s="23" t="s">
        <v>591</v>
      </c>
      <c r="E113" s="45" t="s">
        <v>97</v>
      </c>
      <c r="L113" s="46">
        <f>L108*Assumptions!L94</f>
        <v>7198.9869890000018</v>
      </c>
      <c r="M113" s="46">
        <f>M108*Assumptions!M94</f>
        <v>8090.1159456000032</v>
      </c>
      <c r="N113" s="46">
        <f>N108*Assumptions!N94</f>
        <v>9105.0206370102023</v>
      </c>
      <c r="O113" s="46">
        <f>O108*Assumptions!O94</f>
        <v>10145.279379431282</v>
      </c>
      <c r="P113" s="46">
        <f>P108*Assumptions!P94</f>
        <v>11358.223692296386</v>
      </c>
    </row>
    <row r="114" spans="3:16" ht="14.1" customHeight="1" x14ac:dyDescent="0.3">
      <c r="C114" s="23" t="s">
        <v>592</v>
      </c>
      <c r="E114" s="45" t="s">
        <v>97</v>
      </c>
      <c r="L114" s="46">
        <f>L108*Assumptions!L97</f>
        <v>6017.0637520000018</v>
      </c>
      <c r="M114" s="46">
        <f>M108*Assumptions!M97</f>
        <v>6699.6272674500024</v>
      </c>
      <c r="N114" s="46">
        <f>N108*Assumptions!N97</f>
        <v>7587.5171975085022</v>
      </c>
      <c r="O114" s="46">
        <f>O108*Assumptions!O97</f>
        <v>8365.405804092461</v>
      </c>
      <c r="P114" s="46">
        <f>P108*Assumptions!P97</f>
        <v>9293.092111878861</v>
      </c>
    </row>
    <row r="115" spans="3:16" ht="14.1" customHeight="1" x14ac:dyDescent="0.3">
      <c r="C115" s="71" t="s">
        <v>191</v>
      </c>
      <c r="D115" s="72"/>
      <c r="E115" s="87" t="s">
        <v>97</v>
      </c>
      <c r="F115" s="72"/>
      <c r="G115" s="72"/>
      <c r="H115" s="72"/>
      <c r="I115" s="72"/>
      <c r="J115" s="72"/>
      <c r="K115" s="72"/>
      <c r="L115" s="263">
        <f>L112-L113-L114</f>
        <v>10251.598129000002</v>
      </c>
      <c r="M115" s="263">
        <f>M112-M113-M114</f>
        <v>15313.057476450002</v>
      </c>
      <c r="N115" s="263">
        <f>N112-N113-N114</f>
        <v>21788.050374112951</v>
      </c>
      <c r="O115" s="263">
        <f>O112-O113-O114</f>
        <v>28597.648804129396</v>
      </c>
      <c r="P115" s="263">
        <f>P112-P113-P114</f>
        <v>35125.316664207268</v>
      </c>
    </row>
    <row r="116" spans="3:16" ht="14.1" customHeight="1" x14ac:dyDescent="0.3">
      <c r="C116" s="23" t="s">
        <v>242</v>
      </c>
      <c r="E116" s="45" t="s">
        <v>97</v>
      </c>
      <c r="L116" s="70">
        <f>K119</f>
        <v>40643</v>
      </c>
      <c r="M116" s="70">
        <f>L119</f>
        <v>44144.423865000004</v>
      </c>
      <c r="N116" s="70">
        <f>M119</f>
        <v>48458.04159510001</v>
      </c>
      <c r="O116" s="70">
        <f>N119</f>
        <v>53845.824383623956</v>
      </c>
      <c r="P116" s="70">
        <f>O119</f>
        <v>60007.939328790933</v>
      </c>
    </row>
    <row r="117" spans="3:16" ht="14.1" customHeight="1" x14ac:dyDescent="0.3">
      <c r="C117" s="23" t="s">
        <v>593</v>
      </c>
      <c r="E117" s="45" t="s">
        <v>97</v>
      </c>
      <c r="L117" s="46">
        <f>L116*Assumptions!L42</f>
        <v>6706.0950000000003</v>
      </c>
      <c r="M117" s="46">
        <f>M116*Assumptions!M42</f>
        <v>7063.1078184000007</v>
      </c>
      <c r="N117" s="46">
        <f>N116*Assumptions!N42</f>
        <v>7510.9964472405018</v>
      </c>
      <c r="O117" s="46">
        <f>O116*Assumptions!O42</f>
        <v>8076.8736575435933</v>
      </c>
      <c r="P117" s="46">
        <f>P116*Assumptions!P42</f>
        <v>9001.1908993186389</v>
      </c>
    </row>
    <row r="118" spans="3:16" ht="14.1" customHeight="1" x14ac:dyDescent="0.3">
      <c r="C118" s="23" t="s">
        <v>243</v>
      </c>
      <c r="E118" s="45" t="s">
        <v>97</v>
      </c>
      <c r="L118" s="46">
        <f>L108*Assumptions!L100</f>
        <v>10207.518865000002</v>
      </c>
      <c r="M118" s="46">
        <f>M108*Assumptions!M100</f>
        <v>11376.725548500004</v>
      </c>
      <c r="N118" s="46">
        <f>N108*Assumptions!N100</f>
        <v>12898.779235764454</v>
      </c>
      <c r="O118" s="46">
        <f>O108*Assumptions!O100</f>
        <v>14238.988602710571</v>
      </c>
      <c r="P118" s="46">
        <f>P108*Assumptions!P100</f>
        <v>15488.486853131435</v>
      </c>
    </row>
    <row r="119" spans="3:16" ht="14.1" customHeight="1" x14ac:dyDescent="0.3">
      <c r="C119" s="23" t="s">
        <v>246</v>
      </c>
      <c r="E119" s="45" t="s">
        <v>97</v>
      </c>
      <c r="K119" s="260">
        <f>'Asset Schedule'!K9</f>
        <v>40643</v>
      </c>
      <c r="L119" s="70">
        <f>L116-L117+L118</f>
        <v>44144.423865000004</v>
      </c>
      <c r="M119" s="70">
        <f>M116-M117+M118</f>
        <v>48458.04159510001</v>
      </c>
      <c r="N119" s="70">
        <f>N116-N117+N118</f>
        <v>53845.824383623956</v>
      </c>
      <c r="O119" s="70">
        <f>O116-O117+O118</f>
        <v>60007.939328790933</v>
      </c>
      <c r="P119" s="70">
        <f>P116-P117+P118</f>
        <v>66495.235282603739</v>
      </c>
    </row>
    <row r="120" spans="3:16" ht="14.1" customHeight="1" x14ac:dyDescent="0.3">
      <c r="C120" s="71" t="s">
        <v>194</v>
      </c>
      <c r="D120" s="72"/>
      <c r="E120" s="87" t="s">
        <v>97</v>
      </c>
      <c r="F120" s="72"/>
      <c r="G120" s="72"/>
      <c r="H120" s="72"/>
      <c r="I120" s="72"/>
      <c r="J120" s="72"/>
      <c r="K120" s="72"/>
      <c r="L120" s="263">
        <f>L115+L117</f>
        <v>16957.693129000003</v>
      </c>
      <c r="M120" s="263">
        <f>M115+M117</f>
        <v>22376.165294850001</v>
      </c>
      <c r="N120" s="263">
        <f>N115+N117</f>
        <v>29299.046821353451</v>
      </c>
      <c r="O120" s="263">
        <f>O115+O117</f>
        <v>36674.52246167299</v>
      </c>
      <c r="P120" s="263">
        <f>P115+P117</f>
        <v>44126.507563525905</v>
      </c>
    </row>
    <row r="121" spans="3:16" ht="14.1" customHeight="1" x14ac:dyDescent="0.3">
      <c r="C121" s="23" t="s">
        <v>594</v>
      </c>
      <c r="E121" s="45" t="s">
        <v>97</v>
      </c>
      <c r="K121" s="260">
        <f>BS!K6+BS!K7+Valuation!$F$30-BS!K17-BS!K18-BS!K19</f>
        <v>-5491</v>
      </c>
      <c r="L121" s="46">
        <f>L108/365*Assumptions!L29+(L108-L112)/365*Assumptions!L30+L108*Assumptions!L32*(Valuation!$F$30/(Valuation!$F$29+Valuation!$F$30))-(L108-L112)/365*Assumptions!L31-L108*Assumptions!L33-L108*Assumptions!L34</f>
        <v>-5197.8571476641955</v>
      </c>
      <c r="M121" s="46">
        <f>M108/365*Assumptions!M29+(M108-M112)/365*Assumptions!M30+M108*Assumptions!M32*(Valuation!$F$30/(Valuation!$F$29+Valuation!$F$30))-(M108-M112)/365*Assumptions!M31-M108*Assumptions!M33-M108*Assumptions!M34</f>
        <v>-6321.1870944564198</v>
      </c>
      <c r="N121" s="46">
        <f>N108/365*Assumptions!N29+(N108-N112)/365*Assumptions!N30+N108*Assumptions!N32*(Valuation!$F$30/(Valuation!$F$29+Valuation!$F$30))-(N108-N112)/365*Assumptions!N31-N108*Assumptions!N33-N108*Assumptions!N34</f>
        <v>-7169.3683842804248</v>
      </c>
      <c r="O121" s="46">
        <f>O108/365*Assumptions!O29+(O108-O112)/365*Assumptions!O30+O108*Assumptions!O32*(Valuation!$F$30/(Valuation!$F$29+Valuation!$F$30))-(O108-O112)/365*Assumptions!O31-O108*Assumptions!O33-O108*Assumptions!O34</f>
        <v>-8686.4928432147062</v>
      </c>
      <c r="P121" s="46">
        <f>P108/365*Assumptions!P29+(P108-P112)/365*Assumptions!P30+P108*Assumptions!P32*(Valuation!$F$30/(Valuation!$F$29+Valuation!$F$30))-(P108-P112)/365*Assumptions!P31-P108*Assumptions!P33-P108*Assumptions!P34</f>
        <v>-8562.0773512335181</v>
      </c>
    </row>
    <row r="122" spans="3:16" ht="14.1" customHeight="1" x14ac:dyDescent="0.3">
      <c r="C122" s="23" t="s">
        <v>487</v>
      </c>
      <c r="E122" s="45" t="s">
        <v>97</v>
      </c>
      <c r="L122" s="70">
        <f>L121-K121</f>
        <v>293.14285233580449</v>
      </c>
      <c r="M122" s="70">
        <f>M121-L121</f>
        <v>-1123.3299467922243</v>
      </c>
      <c r="N122" s="70">
        <f>N121-M121</f>
        <v>-848.18128982400503</v>
      </c>
      <c r="O122" s="70">
        <f>O121-N121</f>
        <v>-1517.1244589342814</v>
      </c>
      <c r="P122" s="70">
        <f>P121-O121</f>
        <v>124.4154919811881</v>
      </c>
    </row>
    <row r="123" spans="3:16" ht="14.1" customHeight="1" x14ac:dyDescent="0.3">
      <c r="C123" s="23" t="s">
        <v>486</v>
      </c>
      <c r="E123" s="45" t="s">
        <v>97</v>
      </c>
      <c r="L123" s="46">
        <f>L115*(1-Assumptions!L49)</f>
        <v>7791.2145780400015</v>
      </c>
      <c r="M123" s="46">
        <f>M115*(1-Assumptions!M49)</f>
        <v>11637.923682102002</v>
      </c>
      <c r="N123" s="46">
        <f>N115*(1-Assumptions!N49)</f>
        <v>16558.918284325842</v>
      </c>
      <c r="O123" s="46">
        <f>O115*(1-Assumptions!O49)</f>
        <v>21734.213091138343</v>
      </c>
      <c r="P123" s="46">
        <f>P115*(1-Assumptions!P49)</f>
        <v>26695.240664797526</v>
      </c>
    </row>
    <row r="124" spans="3:16" ht="14.1" customHeight="1" x14ac:dyDescent="0.3">
      <c r="C124" s="71" t="s">
        <v>484</v>
      </c>
      <c r="D124" s="72"/>
      <c r="E124" s="87" t="s">
        <v>97</v>
      </c>
      <c r="F124" s="72"/>
      <c r="G124" s="72"/>
      <c r="H124" s="72"/>
      <c r="I124" s="72"/>
      <c r="J124" s="72"/>
      <c r="K124" s="72"/>
      <c r="L124" s="263">
        <f>L123+L117-L118-L122</f>
        <v>3996.6478607041954</v>
      </c>
      <c r="M124" s="263">
        <f>M123+M117-M118-M122</f>
        <v>8447.6358987942222</v>
      </c>
      <c r="N124" s="263">
        <f>N123+N117-N118-N122</f>
        <v>12019.316785625895</v>
      </c>
      <c r="O124" s="263">
        <f>O123+O117-O118-O122</f>
        <v>17089.222604905648</v>
      </c>
      <c r="P124" s="263">
        <f>P123+P117-P118-P122</f>
        <v>20083.529219003543</v>
      </c>
    </row>
    <row r="125" spans="3:16" ht="14.1" customHeight="1" x14ac:dyDescent="0.3">
      <c r="C125" s="23" t="s">
        <v>595</v>
      </c>
      <c r="E125" s="45" t="s">
        <v>97</v>
      </c>
      <c r="L125" s="46">
        <f>'Loans &amp; Other Income'!L16-'Loans &amp; Other Income'!L11</f>
        <v>324.28499999999991</v>
      </c>
      <c r="M125" s="46">
        <f>'Loans &amp; Other Income'!M16-'Loans &amp; Other Income'!M11</f>
        <v>465.02997252720223</v>
      </c>
      <c r="N125" s="46">
        <f>'Loans &amp; Other Income'!N16-'Loans &amp; Other Income'!N11</f>
        <v>646.19722907711912</v>
      </c>
      <c r="O125" s="46">
        <f>'Loans &amp; Other Income'!O16-'Loans &amp; Other Income'!O11</f>
        <v>711.10657238281306</v>
      </c>
      <c r="P125" s="46">
        <f>'Loans &amp; Other Income'!P16-'Loans &amp; Other Income'!P11</f>
        <v>1016.4461572913513</v>
      </c>
    </row>
    <row r="126" spans="3:16" ht="14.1" customHeight="1" x14ac:dyDescent="0.3">
      <c r="C126" s="71" t="s">
        <v>204</v>
      </c>
      <c r="D126" s="72"/>
      <c r="E126" s="87" t="s">
        <v>97</v>
      </c>
      <c r="F126" s="72"/>
      <c r="G126" s="72"/>
      <c r="H126" s="72"/>
      <c r="I126" s="72"/>
      <c r="J126" s="72"/>
      <c r="K126" s="72"/>
      <c r="L126" s="264">
        <f>(L115+L125)*(1-Assumptions!L49)</f>
        <v>8037.671178040001</v>
      </c>
      <c r="M126" s="264">
        <f>(M115+M125)*(1-Assumptions!M49)</f>
        <v>11991.346461222674</v>
      </c>
      <c r="N126" s="264">
        <f>(N115+N125)*(1-Assumptions!N49)</f>
        <v>17050.028178424454</v>
      </c>
      <c r="O126" s="264">
        <f>(O115+O125)*(1-Assumptions!O49)</f>
        <v>22274.654086149279</v>
      </c>
      <c r="P126" s="264">
        <f>(P115+P125)*(1-Assumptions!P49)</f>
        <v>27467.739744338949</v>
      </c>
    </row>
    <row r="127" spans="3:16" ht="14.1" customHeight="1" x14ac:dyDescent="0.3">
      <c r="C127" s="23" t="s">
        <v>496</v>
      </c>
      <c r="L127" s="265">
        <f>Valuation!L41</f>
        <v>0.88983285739747786</v>
      </c>
      <c r="M127" s="265">
        <f>Valuation!M41</f>
        <v>0.79180251410416014</v>
      </c>
      <c r="N127" s="265">
        <f>Valuation!N41</f>
        <v>0.70457189361981154</v>
      </c>
      <c r="O127" s="265">
        <f>Valuation!O41</f>
        <v>0.6269512213416687</v>
      </c>
      <c r="P127" s="265">
        <f>Valuation!P41</f>
        <v>0.55788179673529559</v>
      </c>
    </row>
    <row r="128" spans="3:16" ht="14.1" customHeight="1" x14ac:dyDescent="0.3">
      <c r="C128" s="23" t="s">
        <v>596</v>
      </c>
      <c r="E128" s="45" t="s">
        <v>97</v>
      </c>
      <c r="L128" s="70">
        <f>L124*L127</f>
        <v>3556.3485859019311</v>
      </c>
      <c r="M128" s="70">
        <f>M124*M127</f>
        <v>6688.8593429018219</v>
      </c>
      <c r="N128" s="70">
        <f>N124*N127</f>
        <v>8468.472787664823</v>
      </c>
      <c r="O128" s="70">
        <f>O124*O127</f>
        <v>10714.108983925249</v>
      </c>
      <c r="P128" s="70">
        <f>P124*P127</f>
        <v>11204.235365483504</v>
      </c>
    </row>
    <row r="129" spans="3:11" ht="6" customHeight="1" x14ac:dyDescent="0.3"/>
    <row r="130" spans="3:11" ht="14.4" customHeight="1" x14ac:dyDescent="0.3">
      <c r="C130" s="266" t="s">
        <v>597</v>
      </c>
      <c r="D130" s="84"/>
      <c r="E130" s="84"/>
      <c r="F130" s="84"/>
      <c r="G130" s="84"/>
      <c r="H130" s="84"/>
      <c r="I130" s="84"/>
      <c r="J130" s="84"/>
      <c r="K130" s="267">
        <f>SUM(L128:P128)</f>
        <v>40632.025065877329</v>
      </c>
    </row>
    <row r="131" spans="3:11" ht="14.4" customHeight="1" x14ac:dyDescent="0.3">
      <c r="C131" s="23" t="s">
        <v>598</v>
      </c>
      <c r="K131" s="46">
        <f>P124*(1+Valuation!$F$18)/(Valuation!$F$17-Valuation!$F$18)</f>
        <v>242950.00285969739</v>
      </c>
    </row>
    <row r="132" spans="3:11" ht="14.4" customHeight="1" x14ac:dyDescent="0.3">
      <c r="C132" s="23" t="s">
        <v>599</v>
      </c>
      <c r="K132" s="70">
        <f>K131*P127</f>
        <v>135537.38411221319</v>
      </c>
    </row>
    <row r="133" spans="3:11" ht="14.4" customHeight="1" x14ac:dyDescent="0.3">
      <c r="C133" s="89" t="s">
        <v>497</v>
      </c>
      <c r="K133" s="199">
        <f>K130+K132</f>
        <v>176169.40917809051</v>
      </c>
    </row>
    <row r="134" spans="3:11" ht="14.4" customHeight="1" x14ac:dyDescent="0.3">
      <c r="C134" s="89" t="s">
        <v>600</v>
      </c>
      <c r="K134" s="199">
        <f>K133+Valuation!$K$49-Valuation!$K$50-Valuation!$K$51</f>
        <v>211124.40917809051</v>
      </c>
    </row>
    <row r="135" spans="3:11" ht="14.4" customHeight="1" x14ac:dyDescent="0.3">
      <c r="C135" s="89" t="s">
        <v>601</v>
      </c>
      <c r="K135" s="202">
        <f>K134/Valuation!$K$55</f>
        <v>53.449217513440637</v>
      </c>
    </row>
    <row r="136" spans="3:11" ht="7.95" customHeight="1" x14ac:dyDescent="0.3"/>
  </sheetData>
  <mergeCells count="5">
    <mergeCell ref="A1:D1"/>
    <mergeCell ref="C20:P20"/>
    <mergeCell ref="E1:F1"/>
    <mergeCell ref="G1:P1"/>
    <mergeCell ref="A2:P2"/>
  </mergeCells>
  <hyperlinks>
    <hyperlink ref="E1" location="Cover!A1" display="◄  Cover"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31937"/>
  </sheetPr>
  <dimension ref="A1:N95"/>
  <sheetViews>
    <sheetView showGridLines="0" tabSelected="1" topLeftCell="A72" workbookViewId="0">
      <selection activeCell="I18" sqref="I18"/>
    </sheetView>
  </sheetViews>
  <sheetFormatPr defaultRowHeight="14.4" x14ac:dyDescent="0.3"/>
  <cols>
    <col min="1" max="2" width="2.21875" customWidth="1"/>
    <col min="3" max="3" width="54" customWidth="1"/>
    <col min="4" max="4" width="1.5546875" customWidth="1"/>
    <col min="5" max="5" width="10" customWidth="1"/>
    <col min="6" max="6" width="14" customWidth="1"/>
    <col min="7" max="7" width="2" customWidth="1"/>
    <col min="8" max="14" width="12.44140625" customWidth="1"/>
  </cols>
  <sheetData>
    <row r="1" spans="1:14" ht="27" customHeight="1" x14ac:dyDescent="0.3">
      <c r="A1" s="301" t="s">
        <v>1</v>
      </c>
      <c r="B1" s="299"/>
      <c r="C1" s="299"/>
      <c r="D1" s="299"/>
      <c r="E1" s="298" t="s">
        <v>71</v>
      </c>
      <c r="F1" s="299"/>
      <c r="G1" s="304" t="s">
        <v>604</v>
      </c>
      <c r="H1" s="299"/>
      <c r="I1" s="299"/>
      <c r="J1" s="299"/>
      <c r="K1" s="299"/>
      <c r="L1" s="299"/>
      <c r="M1" s="299"/>
      <c r="N1" s="299"/>
    </row>
    <row r="2" spans="1:14" ht="13.05" customHeight="1" x14ac:dyDescent="0.3">
      <c r="A2" s="303" t="s">
        <v>605</v>
      </c>
      <c r="B2" s="297"/>
      <c r="C2" s="297"/>
      <c r="D2" s="297"/>
      <c r="E2" s="297"/>
      <c r="F2" s="297"/>
      <c r="G2" s="297"/>
      <c r="H2" s="297"/>
      <c r="I2" s="297"/>
      <c r="J2" s="297"/>
      <c r="K2" s="297"/>
      <c r="L2" s="297"/>
      <c r="M2" s="297"/>
      <c r="N2" s="297"/>
    </row>
    <row r="3" spans="1:14" ht="6" customHeight="1" x14ac:dyDescent="0.3"/>
    <row r="4" spans="1:14" ht="16.95" customHeight="1" x14ac:dyDescent="0.3">
      <c r="A4" s="24" t="s">
        <v>606</v>
      </c>
      <c r="B4" s="25"/>
      <c r="C4" s="25"/>
      <c r="D4" s="25"/>
      <c r="E4" s="25"/>
      <c r="F4" s="25"/>
      <c r="G4" s="25"/>
      <c r="H4" s="25"/>
      <c r="I4" s="25"/>
      <c r="J4" s="25"/>
      <c r="K4" s="25"/>
      <c r="L4" s="25"/>
      <c r="M4" s="25"/>
      <c r="N4" s="25"/>
    </row>
    <row r="5" spans="1:14" ht="14.1" customHeight="1" x14ac:dyDescent="0.3">
      <c r="C5" s="23" t="s">
        <v>607</v>
      </c>
      <c r="E5" s="45" t="s">
        <v>148</v>
      </c>
      <c r="F5" s="268">
        <f>Assumptions!$G$63</f>
        <v>46268</v>
      </c>
    </row>
    <row r="6" spans="1:14" ht="14.1" customHeight="1" x14ac:dyDescent="0.3">
      <c r="C6" s="23" t="s">
        <v>608</v>
      </c>
      <c r="E6" s="45" t="s">
        <v>140</v>
      </c>
      <c r="F6" s="203">
        <f>Assumptions!$G$56</f>
        <v>376.37</v>
      </c>
    </row>
    <row r="7" spans="1:14" ht="14.1" customHeight="1" x14ac:dyDescent="0.3">
      <c r="C7" s="23" t="s">
        <v>858</v>
      </c>
      <c r="E7" s="45" t="s">
        <v>141</v>
      </c>
      <c r="F7" s="49">
        <f>Assumptions!$G$57</f>
        <v>3950</v>
      </c>
    </row>
    <row r="8" spans="1:14" ht="14.1" customHeight="1" x14ac:dyDescent="0.3">
      <c r="C8" s="89" t="s">
        <v>609</v>
      </c>
      <c r="E8" s="45" t="s">
        <v>97</v>
      </c>
      <c r="F8" s="269">
        <f>F6*F7</f>
        <v>1486661.5</v>
      </c>
    </row>
    <row r="9" spans="1:14" ht="14.1" customHeight="1" x14ac:dyDescent="0.3">
      <c r="C9" s="23" t="s">
        <v>610</v>
      </c>
      <c r="E9" s="45" t="s">
        <v>97</v>
      </c>
      <c r="F9" s="46">
        <f>Valuation!$K$50</f>
        <v>8376</v>
      </c>
    </row>
    <row r="10" spans="1:14" ht="14.1" customHeight="1" x14ac:dyDescent="0.3">
      <c r="C10" s="23" t="s">
        <v>611</v>
      </c>
      <c r="E10" s="45" t="s">
        <v>97</v>
      </c>
      <c r="F10" s="46">
        <f>Valuation!$K$51</f>
        <v>728</v>
      </c>
    </row>
    <row r="11" spans="1:14" ht="14.1" customHeight="1" x14ac:dyDescent="0.3">
      <c r="C11" s="23" t="s">
        <v>612</v>
      </c>
      <c r="E11" s="45" t="s">
        <v>97</v>
      </c>
      <c r="F11" s="46">
        <f>Valuation!$K$49</f>
        <v>44059</v>
      </c>
    </row>
    <row r="12" spans="1:14" ht="14.1" customHeight="1" x14ac:dyDescent="0.3">
      <c r="C12" s="23" t="s">
        <v>606</v>
      </c>
      <c r="E12" s="45" t="s">
        <v>97</v>
      </c>
      <c r="F12" s="199">
        <f>F8+F9+F10-F11</f>
        <v>1451706.5</v>
      </c>
    </row>
    <row r="13" spans="1:14" ht="7.95" customHeight="1" x14ac:dyDescent="0.3"/>
    <row r="14" spans="1:14" ht="16.95" customHeight="1" x14ac:dyDescent="0.3">
      <c r="A14" s="24" t="s">
        <v>613</v>
      </c>
      <c r="B14" s="25"/>
      <c r="C14" s="25"/>
      <c r="D14" s="25"/>
      <c r="E14" s="25"/>
      <c r="F14" s="25"/>
      <c r="G14" s="25"/>
      <c r="H14" s="25"/>
      <c r="I14" s="25"/>
      <c r="J14" s="25"/>
      <c r="K14" s="25"/>
      <c r="L14" s="25"/>
      <c r="M14" s="25"/>
      <c r="N14" s="25"/>
    </row>
    <row r="15" spans="1:14" ht="14.1" customHeight="1" x14ac:dyDescent="0.3">
      <c r="C15" s="23" t="s">
        <v>614</v>
      </c>
      <c r="E15" s="45" t="s">
        <v>97</v>
      </c>
      <c r="F15" s="46">
        <f>Valuation!$K$46</f>
        <v>93694.397949458478</v>
      </c>
    </row>
    <row r="16" spans="1:14" ht="14.1" customHeight="1" x14ac:dyDescent="0.3">
      <c r="C16" s="23" t="s">
        <v>615</v>
      </c>
      <c r="E16" s="45" t="s">
        <v>97</v>
      </c>
      <c r="F16" s="46">
        <f>Valuation!$K$52</f>
        <v>128649.39794945848</v>
      </c>
    </row>
    <row r="17" spans="1:14" ht="14.1" customHeight="1" x14ac:dyDescent="0.3">
      <c r="C17" s="23" t="s">
        <v>616</v>
      </c>
      <c r="E17" s="45" t="s">
        <v>140</v>
      </c>
      <c r="F17" s="203">
        <f>Valuation!$K$56</f>
        <v>32.569467835305943</v>
      </c>
    </row>
    <row r="18" spans="1:14" ht="14.1" customHeight="1" x14ac:dyDescent="0.3">
      <c r="C18" s="89" t="s">
        <v>617</v>
      </c>
      <c r="E18" s="45" t="s">
        <v>618</v>
      </c>
      <c r="F18" s="270">
        <f>F12/F15</f>
        <v>15.494058681961896</v>
      </c>
    </row>
    <row r="19" spans="1:14" ht="15" customHeight="1" x14ac:dyDescent="0.3">
      <c r="C19" s="303" t="s">
        <v>619</v>
      </c>
      <c r="D19" s="297"/>
      <c r="E19" s="297"/>
      <c r="F19" s="297"/>
      <c r="G19" s="297"/>
      <c r="H19" s="297"/>
      <c r="I19" s="297"/>
      <c r="J19" s="297"/>
      <c r="K19" s="297"/>
      <c r="L19" s="297"/>
      <c r="M19" s="297"/>
      <c r="N19" s="297"/>
    </row>
    <row r="20" spans="1:14" ht="7.95" customHeight="1" x14ac:dyDescent="0.3"/>
    <row r="21" spans="1:14" ht="16.95" customHeight="1" x14ac:dyDescent="0.3">
      <c r="A21" s="24" t="s">
        <v>620</v>
      </c>
      <c r="B21" s="25"/>
      <c r="C21" s="25"/>
      <c r="D21" s="25"/>
      <c r="E21" s="25"/>
      <c r="F21" s="25"/>
      <c r="G21" s="25"/>
      <c r="H21" s="25"/>
      <c r="I21" s="25"/>
      <c r="J21" s="25"/>
      <c r="K21" s="25"/>
      <c r="L21" s="25"/>
      <c r="M21" s="25"/>
      <c r="N21" s="25"/>
    </row>
    <row r="22" spans="1:14" ht="25.95" customHeight="1" x14ac:dyDescent="0.3">
      <c r="C22" s="296" t="s">
        <v>621</v>
      </c>
      <c r="D22" s="297"/>
      <c r="E22" s="297"/>
      <c r="F22" s="297"/>
      <c r="G22" s="297"/>
      <c r="H22" s="297"/>
      <c r="I22" s="297"/>
      <c r="J22" s="297"/>
      <c r="K22" s="297"/>
      <c r="L22" s="297"/>
      <c r="M22" s="297"/>
      <c r="N22" s="297"/>
    </row>
    <row r="23" spans="1:14" ht="16.95" customHeight="1" x14ac:dyDescent="0.3">
      <c r="C23" s="110" t="s">
        <v>622</v>
      </c>
      <c r="E23" s="111" t="s">
        <v>76</v>
      </c>
      <c r="F23" s="111" t="s">
        <v>623</v>
      </c>
    </row>
    <row r="24" spans="1:14" ht="14.1" customHeight="1" x14ac:dyDescent="0.3">
      <c r="C24" s="23" t="s">
        <v>624</v>
      </c>
      <c r="E24" s="45" t="s">
        <v>97</v>
      </c>
      <c r="F24" s="46">
        <f>IS!$K$8</f>
        <v>94827.000000000029</v>
      </c>
    </row>
    <row r="25" spans="1:14" ht="14.1" customHeight="1" x14ac:dyDescent="0.3">
      <c r="C25" s="23" t="s">
        <v>625</v>
      </c>
      <c r="E25" s="45" t="s">
        <v>575</v>
      </c>
      <c r="F25" s="47">
        <f>IS!$K$26</f>
        <v>4.59257384500198E-2</v>
      </c>
    </row>
    <row r="26" spans="1:14" ht="14.1" customHeight="1" x14ac:dyDescent="0.3">
      <c r="C26" s="23" t="s">
        <v>626</v>
      </c>
      <c r="E26" s="45" t="s">
        <v>575</v>
      </c>
      <c r="F26" s="52">
        <v>0.112</v>
      </c>
    </row>
    <row r="27" spans="1:14" ht="14.1" customHeight="1" x14ac:dyDescent="0.3">
      <c r="C27" s="23" t="s">
        <v>627</v>
      </c>
      <c r="E27" s="45" t="s">
        <v>575</v>
      </c>
      <c r="F27" s="52">
        <v>0.127</v>
      </c>
    </row>
    <row r="28" spans="1:14" ht="14.1" customHeight="1" x14ac:dyDescent="0.3">
      <c r="C28" s="23" t="s">
        <v>564</v>
      </c>
      <c r="E28" s="45" t="s">
        <v>575</v>
      </c>
      <c r="F28" s="52">
        <v>0.24</v>
      </c>
    </row>
    <row r="29" spans="1:14" ht="14.1" customHeight="1" x14ac:dyDescent="0.3">
      <c r="C29" s="23" t="s">
        <v>628</v>
      </c>
      <c r="E29" s="45" t="s">
        <v>575</v>
      </c>
      <c r="F29" s="52">
        <v>5.2999999999999999E-2</v>
      </c>
    </row>
    <row r="30" spans="1:14" ht="14.1" customHeight="1" x14ac:dyDescent="0.3">
      <c r="C30" s="23" t="s">
        <v>629</v>
      </c>
      <c r="E30" s="45" t="s">
        <v>575</v>
      </c>
      <c r="F30" s="52">
        <v>0.08</v>
      </c>
    </row>
    <row r="31" spans="1:14" ht="14.1" customHeight="1" x14ac:dyDescent="0.3">
      <c r="C31" s="23" t="s">
        <v>630</v>
      </c>
      <c r="E31" s="45" t="s">
        <v>575</v>
      </c>
      <c r="F31" s="52">
        <v>2.4E-2</v>
      </c>
    </row>
    <row r="32" spans="1:14" ht="14.1" customHeight="1" x14ac:dyDescent="0.3">
      <c r="C32" s="23" t="s">
        <v>36</v>
      </c>
      <c r="E32" s="45" t="s">
        <v>575</v>
      </c>
      <c r="F32" s="271">
        <f>Valuation!$F$17</f>
        <v>0.12380655725023622</v>
      </c>
    </row>
    <row r="33" spans="1:14" ht="14.1" customHeight="1" x14ac:dyDescent="0.3">
      <c r="C33" s="23" t="s">
        <v>631</v>
      </c>
      <c r="E33" s="45" t="s">
        <v>575</v>
      </c>
      <c r="F33" s="271">
        <f>Valuation!$F$18</f>
        <v>3.7999999999999999E-2</v>
      </c>
    </row>
    <row r="34" spans="1:14" ht="7.95" customHeight="1" x14ac:dyDescent="0.3"/>
    <row r="35" spans="1:14" ht="16.95" customHeight="1" x14ac:dyDescent="0.3">
      <c r="A35" s="24" t="s">
        <v>632</v>
      </c>
      <c r="B35" s="25"/>
      <c r="C35" s="25"/>
      <c r="D35" s="25"/>
      <c r="E35" s="25"/>
      <c r="F35" s="25"/>
      <c r="G35" s="25"/>
      <c r="H35" s="25"/>
      <c r="I35" s="25"/>
      <c r="J35" s="25"/>
      <c r="K35" s="25"/>
      <c r="L35" s="25"/>
      <c r="M35" s="25"/>
      <c r="N35" s="25"/>
    </row>
    <row r="36" spans="1:14" ht="16.05" customHeight="1" x14ac:dyDescent="0.3">
      <c r="H36" s="259" t="str">
        <f>'Revenue Build-up'!L3</f>
        <v>FY26E</v>
      </c>
      <c r="I36" s="259" t="str">
        <f>'Revenue Build-up'!M3</f>
        <v>FY27E</v>
      </c>
      <c r="J36" s="259" t="str">
        <f>'Revenue Build-up'!N3</f>
        <v>FY28E</v>
      </c>
      <c r="K36" s="259" t="str">
        <f>'Revenue Build-up'!O3</f>
        <v>FY29E</v>
      </c>
      <c r="L36" s="259" t="str">
        <f>'Revenue Build-up'!P3</f>
        <v>FY30E</v>
      </c>
    </row>
    <row r="37" spans="1:14" ht="14.1" customHeight="1" x14ac:dyDescent="0.3">
      <c r="C37" s="23" t="s">
        <v>633</v>
      </c>
      <c r="H37" s="195">
        <f>1</f>
        <v>1</v>
      </c>
      <c r="I37" s="195">
        <f>2</f>
        <v>2</v>
      </c>
      <c r="J37" s="195">
        <f>3</f>
        <v>3</v>
      </c>
      <c r="K37" s="195">
        <f>4</f>
        <v>4</v>
      </c>
      <c r="L37" s="195">
        <f>5</f>
        <v>5</v>
      </c>
    </row>
    <row r="38" spans="1:14" ht="14.1" customHeight="1" x14ac:dyDescent="0.3">
      <c r="C38" s="23" t="s">
        <v>351</v>
      </c>
      <c r="H38" s="70">
        <f>$F$24*(1+$F$26)^H37</f>
        <v>105447.62400000004</v>
      </c>
      <c r="I38" s="70">
        <f>$F$24*(1+$F$26)^I37</f>
        <v>117257.75788800007</v>
      </c>
      <c r="J38" s="70">
        <f>$F$24*(1+$F$26)^J37</f>
        <v>130390.6267714561</v>
      </c>
      <c r="K38" s="70">
        <f>$F$24*(1+$F$26)^K37</f>
        <v>144994.37696985921</v>
      </c>
      <c r="L38" s="70">
        <f>$F$24*(1+$F$26)^L37</f>
        <v>161233.74719048344</v>
      </c>
    </row>
    <row r="39" spans="1:14" ht="14.1" customHeight="1" x14ac:dyDescent="0.3">
      <c r="C39" s="23" t="s">
        <v>634</v>
      </c>
      <c r="H39" s="78">
        <f>$F$25+($F$27-$F$25)*H37/5</f>
        <v>6.2140590760015837E-2</v>
      </c>
      <c r="I39" s="78">
        <f>$F$25+($F$27-$F$25)*I37/5</f>
        <v>7.8355443070011882E-2</v>
      </c>
      <c r="J39" s="78">
        <f>$F$25+($F$27-$F$25)*J37/5</f>
        <v>9.4570295380007927E-2</v>
      </c>
      <c r="K39" s="78">
        <f>$F$25+($F$27-$F$25)*K37/5</f>
        <v>0.11078514769000397</v>
      </c>
      <c r="L39" s="78">
        <f>$F$25+($F$27-$F$25)*L37/5</f>
        <v>0.127</v>
      </c>
    </row>
    <row r="40" spans="1:14" ht="14.1" customHeight="1" x14ac:dyDescent="0.3">
      <c r="C40" s="23" t="s">
        <v>352</v>
      </c>
      <c r="H40" s="70">
        <f>H38*H39</f>
        <v>6552.5776496000271</v>
      </c>
      <c r="I40" s="70">
        <f>I38*I39</f>
        <v>9187.7835727104266</v>
      </c>
      <c r="J40" s="70">
        <f>J38*J39</f>
        <v>12331.080088560971</v>
      </c>
      <c r="K40" s="70">
        <f>K38*K39</f>
        <v>16063.223466825963</v>
      </c>
      <c r="L40" s="70">
        <f>L38*L39</f>
        <v>20476.685893191396</v>
      </c>
    </row>
    <row r="41" spans="1:14" ht="14.1" customHeight="1" x14ac:dyDescent="0.3">
      <c r="C41" s="23" t="s">
        <v>635</v>
      </c>
      <c r="H41" s="70">
        <f>H40*(1-$F$28)</f>
        <v>4979.9590136960205</v>
      </c>
      <c r="I41" s="70">
        <f>I40*(1-$F$28)</f>
        <v>6982.7155152599244</v>
      </c>
      <c r="J41" s="70">
        <f>J40*(1-$F$28)</f>
        <v>9371.6208673063393</v>
      </c>
      <c r="K41" s="70">
        <f>K40*(1-$F$28)</f>
        <v>12208.049834787731</v>
      </c>
      <c r="L41" s="70">
        <f>L40*(1-$F$28)</f>
        <v>15562.281278825461</v>
      </c>
    </row>
    <row r="42" spans="1:14" ht="14.1" customHeight="1" x14ac:dyDescent="0.3">
      <c r="C42" s="23" t="s">
        <v>636</v>
      </c>
      <c r="H42" s="70">
        <f>H38*$F$29</f>
        <v>5588.7240720000018</v>
      </c>
      <c r="I42" s="70">
        <f>I38*$F$29</f>
        <v>6214.6611680640035</v>
      </c>
      <c r="J42" s="70">
        <f>J38*$F$29</f>
        <v>6910.7032188871726</v>
      </c>
      <c r="K42" s="70">
        <f>K38*$F$29</f>
        <v>7684.7019794025382</v>
      </c>
      <c r="L42" s="70">
        <f>L38*$F$29</f>
        <v>8545.3886010956212</v>
      </c>
    </row>
    <row r="43" spans="1:14" ht="14.1" customHeight="1" x14ac:dyDescent="0.3">
      <c r="C43" s="23" t="s">
        <v>637</v>
      </c>
      <c r="H43" s="70">
        <f>H38*$F$30</f>
        <v>8435.8099200000033</v>
      </c>
      <c r="I43" s="70">
        <f>I38*$F$30</f>
        <v>9380.6206310400048</v>
      </c>
      <c r="J43" s="70">
        <f>J38*$F$30</f>
        <v>10431.250141716488</v>
      </c>
      <c r="K43" s="70">
        <f>K38*$F$30</f>
        <v>11599.550157588737</v>
      </c>
      <c r="L43" s="70">
        <f>L38*$F$30</f>
        <v>12898.699775238676</v>
      </c>
    </row>
    <row r="44" spans="1:14" ht="14.1" customHeight="1" x14ac:dyDescent="0.3">
      <c r="C44" s="23" t="s">
        <v>638</v>
      </c>
      <c r="H44" s="70">
        <f>(H38-$F$24)*$F$31</f>
        <v>254.89497600000027</v>
      </c>
      <c r="I44" s="70">
        <f>(I38-H38)*$F$31</f>
        <v>283.44321331200064</v>
      </c>
      <c r="J44" s="70">
        <f>(J38-I38)*$F$31</f>
        <v>315.18885320294476</v>
      </c>
      <c r="K44" s="70">
        <f>(K38-J38)*$F$31</f>
        <v>350.4900047616747</v>
      </c>
      <c r="L44" s="70">
        <f>(L38-K38)*$F$31</f>
        <v>389.74488529498154</v>
      </c>
    </row>
    <row r="45" spans="1:14" ht="14.1" customHeight="1" x14ac:dyDescent="0.3">
      <c r="C45" s="71" t="s">
        <v>639</v>
      </c>
      <c r="D45" s="72"/>
      <c r="E45" s="72"/>
      <c r="F45" s="72"/>
      <c r="G45" s="72"/>
      <c r="H45" s="263">
        <f>H41+H42-H43-H44</f>
        <v>1877.9781896960187</v>
      </c>
      <c r="I45" s="263">
        <f>I41+I42-I43-I44</f>
        <v>3533.3128389719222</v>
      </c>
      <c r="J45" s="263">
        <f>J41+J42-J43-J44</f>
        <v>5535.88509127408</v>
      </c>
      <c r="K45" s="263">
        <f>K41+K42-K43-K44</f>
        <v>7942.711651839857</v>
      </c>
      <c r="L45" s="263">
        <f>L41+L42-L43-L44</f>
        <v>10819.225219387425</v>
      </c>
    </row>
    <row r="46" spans="1:14" ht="14.1" customHeight="1" x14ac:dyDescent="0.3">
      <c r="C46" s="23" t="s">
        <v>640</v>
      </c>
      <c r="H46" s="196">
        <f>1/(1+$F$32)^H37</f>
        <v>0.88983285739747786</v>
      </c>
      <c r="I46" s="196">
        <f>1/(1+$F$32)^I37</f>
        <v>0.79180251410416014</v>
      </c>
      <c r="J46" s="196">
        <f>1/(1+$F$32)^J37</f>
        <v>0.70457189361981154</v>
      </c>
      <c r="K46" s="196">
        <f>1/(1+$F$32)^K37</f>
        <v>0.6269512213416687</v>
      </c>
      <c r="L46" s="196">
        <f>1/(1+$F$32)^L37</f>
        <v>0.55788179673529559</v>
      </c>
    </row>
    <row r="47" spans="1:14" ht="14.1" customHeight="1" x14ac:dyDescent="0.3">
      <c r="C47" s="23" t="s">
        <v>596</v>
      </c>
      <c r="H47" s="70">
        <f>H45*H46</f>
        <v>1671.0866986673511</v>
      </c>
      <c r="I47" s="70">
        <f>I45*I46</f>
        <v>2797.6859890144756</v>
      </c>
      <c r="J47" s="70">
        <f>J45*J46</f>
        <v>3900.4290416206618</v>
      </c>
      <c r="K47" s="70">
        <f>K45*K46</f>
        <v>4979.6927708857011</v>
      </c>
      <c r="L47" s="70">
        <f>L45*L46</f>
        <v>6035.8488046756793</v>
      </c>
    </row>
    <row r="48" spans="1:14" ht="6" customHeight="1" x14ac:dyDescent="0.3"/>
    <row r="49" spans="1:14" ht="14.1" customHeight="1" x14ac:dyDescent="0.3">
      <c r="C49" s="23" t="s">
        <v>641</v>
      </c>
      <c r="E49" s="45" t="s">
        <v>97</v>
      </c>
      <c r="F49" s="70">
        <f>SUM(H47:L47)</f>
        <v>19384.74330486387</v>
      </c>
    </row>
    <row r="50" spans="1:14" ht="14.1" customHeight="1" x14ac:dyDescent="0.3">
      <c r="C50" s="23" t="s">
        <v>642</v>
      </c>
      <c r="E50" s="45" t="s">
        <v>97</v>
      </c>
      <c r="F50" s="70">
        <f>L45*(1+$F$33)/($F$32-$F$33)</f>
        <v>130879.92500355479</v>
      </c>
    </row>
    <row r="51" spans="1:14" ht="14.1" customHeight="1" x14ac:dyDescent="0.3">
      <c r="C51" s="23" t="s">
        <v>643</v>
      </c>
      <c r="E51" s="45" t="s">
        <v>97</v>
      </c>
      <c r="F51" s="70">
        <f>F50*L46</f>
        <v>73015.527717563877</v>
      </c>
    </row>
    <row r="52" spans="1:14" ht="14.1" customHeight="1" x14ac:dyDescent="0.3">
      <c r="C52" s="23" t="s">
        <v>644</v>
      </c>
      <c r="E52" s="45" t="s">
        <v>97</v>
      </c>
      <c r="F52" s="199">
        <f>F49+F51</f>
        <v>92400.27102242774</v>
      </c>
    </row>
    <row r="53" spans="1:14" ht="14.1" customHeight="1" x14ac:dyDescent="0.3">
      <c r="C53" s="23" t="s">
        <v>63</v>
      </c>
      <c r="E53" s="45" t="s">
        <v>97</v>
      </c>
      <c r="F53" s="46">
        <f>F52+Valuation!$K$49-Valuation!$K$50-Valuation!$K$51</f>
        <v>127355.27102242774</v>
      </c>
    </row>
    <row r="54" spans="1:14" ht="14.1" customHeight="1" x14ac:dyDescent="0.3">
      <c r="C54" s="23" t="s">
        <v>645</v>
      </c>
      <c r="E54" s="45" t="s">
        <v>140</v>
      </c>
      <c r="F54" s="202">
        <f>F53/Assumptions!$G$57</f>
        <v>32.241840765171581</v>
      </c>
    </row>
    <row r="55" spans="1:14" ht="14.1" customHeight="1" x14ac:dyDescent="0.3">
      <c r="C55" s="89" t="s">
        <v>646</v>
      </c>
      <c r="E55" s="45" t="s">
        <v>575</v>
      </c>
      <c r="F55" s="272">
        <f>F54/$F$6-1</f>
        <v>-0.91433472177598751</v>
      </c>
    </row>
    <row r="56" spans="1:14" ht="13.95" customHeight="1" x14ac:dyDescent="0.3">
      <c r="C56" s="358" t="str">
        <f>"Calibration memo: at Base Case parameters this independent build returns "&amp;TEXT($F$54,"$0.00")&amp;" against "&amp;TEXT($F$17,"$0.00")&amp;" from the full three-statement DCF ("&amp;TEXT($F$54/$F$17-1,"0.0%")&amp;"). The difference is the simplified conversion ratios — it confirms the parameterisation is calibrated to the operating model without being driven by it."</f>
        <v>Calibration memo: at Base Case parameters this independent build returns $32.24 against $32.57 from the full three-statement DCF (-1.0%). The difference is the simplified conversion ratios — it confirms the parameterisation is calibrated to the operating model without being driven by it.</v>
      </c>
      <c r="D56" s="297"/>
      <c r="E56" s="297"/>
      <c r="F56" s="297"/>
      <c r="G56" s="297"/>
      <c r="H56" s="297"/>
      <c r="I56" s="297"/>
      <c r="J56" s="297"/>
      <c r="K56" s="297"/>
      <c r="L56" s="297"/>
      <c r="M56" s="297"/>
      <c r="N56" s="297"/>
    </row>
    <row r="57" spans="1:14" ht="16.95" customHeight="1" x14ac:dyDescent="0.3">
      <c r="A57" s="24" t="s">
        <v>647</v>
      </c>
      <c r="B57" s="25"/>
      <c r="C57" s="25"/>
      <c r="D57" s="25"/>
      <c r="E57" s="25"/>
      <c r="F57" s="25"/>
      <c r="G57" s="25"/>
      <c r="H57" s="25"/>
      <c r="I57" s="25"/>
      <c r="J57" s="25"/>
      <c r="K57" s="25"/>
      <c r="L57" s="25"/>
      <c r="M57" s="25"/>
      <c r="N57" s="25"/>
    </row>
    <row r="58" spans="1:14" ht="14.1" customHeight="1" x14ac:dyDescent="0.3">
      <c r="C58" s="89" t="s">
        <v>648</v>
      </c>
      <c r="E58" s="45" t="s">
        <v>618</v>
      </c>
      <c r="F58" s="270">
        <f>$F$12/$F$52</f>
        <v>15.711063224561716</v>
      </c>
    </row>
    <row r="59" spans="1:14" ht="14.1" customHeight="1" x14ac:dyDescent="0.3">
      <c r="C59" s="23" t="s">
        <v>649</v>
      </c>
      <c r="E59" s="45" t="s">
        <v>97</v>
      </c>
      <c r="F59" s="199">
        <f>L45*F58</f>
        <v>169981.53146256844</v>
      </c>
    </row>
    <row r="60" spans="1:14" ht="14.1" customHeight="1" x14ac:dyDescent="0.3">
      <c r="C60" s="23" t="s">
        <v>650</v>
      </c>
      <c r="E60" s="45" t="s">
        <v>97</v>
      </c>
      <c r="F60" s="46">
        <f>'Scenario Analysis'!I13</f>
        <v>10814.999874987323</v>
      </c>
    </row>
    <row r="61" spans="1:14" ht="14.1" customHeight="1" x14ac:dyDescent="0.3">
      <c r="C61" s="89" t="s">
        <v>651</v>
      </c>
      <c r="E61" s="45" t="s">
        <v>618</v>
      </c>
      <c r="F61" s="270">
        <f>F59/F60</f>
        <v>15.71720142648339</v>
      </c>
    </row>
    <row r="62" spans="1:14" ht="14.1" customHeight="1" x14ac:dyDescent="0.3">
      <c r="C62" s="23" t="s">
        <v>652</v>
      </c>
      <c r="E62" s="45" t="s">
        <v>97</v>
      </c>
      <c r="F62" s="70">
        <f>L40*F58</f>
        <v>321710.50669742102</v>
      </c>
    </row>
    <row r="63" spans="1:14" ht="14.1" customHeight="1" x14ac:dyDescent="0.3">
      <c r="C63" s="23" t="s">
        <v>653</v>
      </c>
      <c r="E63" s="45" t="s">
        <v>97</v>
      </c>
      <c r="F63" s="70">
        <f>F62/$F$27</f>
        <v>2533153.5960426852</v>
      </c>
    </row>
    <row r="64" spans="1:14" ht="14.1" customHeight="1" x14ac:dyDescent="0.3">
      <c r="C64" s="89" t="s">
        <v>654</v>
      </c>
      <c r="E64" s="45" t="s">
        <v>575</v>
      </c>
      <c r="F64" s="273">
        <f>F62/'Scenario Analysis'!K6</f>
        <v>1.5578208659826807</v>
      </c>
    </row>
    <row r="65" spans="1:14" ht="15" customHeight="1" x14ac:dyDescent="0.3">
      <c r="C65" s="303" t="s">
        <v>655</v>
      </c>
      <c r="D65" s="297"/>
      <c r="E65" s="297"/>
      <c r="F65" s="297"/>
      <c r="G65" s="297"/>
      <c r="H65" s="297"/>
      <c r="I65" s="297"/>
      <c r="J65" s="297"/>
      <c r="K65" s="297"/>
      <c r="L65" s="297"/>
      <c r="M65" s="297"/>
      <c r="N65" s="297"/>
    </row>
    <row r="66" spans="1:14" ht="7.95" customHeight="1" x14ac:dyDescent="0.3"/>
    <row r="67" spans="1:14" ht="16.95" customHeight="1" x14ac:dyDescent="0.3">
      <c r="A67" s="24" t="s">
        <v>656</v>
      </c>
      <c r="B67" s="25"/>
      <c r="C67" s="25"/>
      <c r="D67" s="25"/>
      <c r="E67" s="25"/>
      <c r="F67" s="25"/>
      <c r="G67" s="25"/>
      <c r="H67" s="25"/>
      <c r="I67" s="25"/>
      <c r="J67" s="25"/>
      <c r="K67" s="25"/>
      <c r="L67" s="25"/>
      <c r="M67" s="25"/>
      <c r="N67" s="25"/>
    </row>
    <row r="68" spans="1:14" ht="25.95" customHeight="1" x14ac:dyDescent="0.3">
      <c r="C68" s="296" t="s">
        <v>657</v>
      </c>
      <c r="D68" s="297"/>
      <c r="E68" s="297"/>
      <c r="F68" s="297"/>
      <c r="G68" s="297"/>
      <c r="H68" s="297"/>
      <c r="I68" s="297"/>
      <c r="J68" s="297"/>
      <c r="K68" s="297"/>
      <c r="L68" s="297"/>
      <c r="M68" s="297"/>
      <c r="N68" s="297"/>
    </row>
    <row r="69" spans="1:14" ht="13.95" customHeight="1" x14ac:dyDescent="0.3">
      <c r="G69" s="37" t="s">
        <v>658</v>
      </c>
      <c r="I69" s="274" t="s">
        <v>659</v>
      </c>
    </row>
    <row r="70" spans="1:14" ht="16.95" customHeight="1" x14ac:dyDescent="0.3">
      <c r="H70" s="215">
        <f>$F$54</f>
        <v>32.241840765171581</v>
      </c>
      <c r="I70" s="208">
        <f>$F$27</f>
        <v>0.127</v>
      </c>
      <c r="J70" s="208">
        <v>0.16</v>
      </c>
      <c r="K70" s="208">
        <v>0.2</v>
      </c>
      <c r="L70" s="208">
        <v>0.24</v>
      </c>
      <c r="M70" s="208">
        <v>0.28000000000000003</v>
      </c>
      <c r="N70" s="208">
        <v>0.32</v>
      </c>
    </row>
    <row r="71" spans="1:14" ht="15" customHeight="1" x14ac:dyDescent="0.3">
      <c r="H71" s="275">
        <f>$F$26</f>
        <v>0.112</v>
      </c>
      <c r="I71" s="276">
        <f>(SUMPRODUCT((($F$24*(1+$H71)^{1,2,3,4,5})*(($F$25+(I$70-$F$25)*{1,2,3,4,5}/5)*(1-$F$28)+$F$29-$F$30)-(($F$24*(1+$H71)^{1,2,3,4,5})-($F$24*(1+$H71)^({1,2,3,4,5}-1)))*$F$31)/(1+$F$32)^{1,2,3,4,5})+($F$24*(1+$H71)^5*(I$70*(1-$F$28)+$F$29-$F$30)-($F$24*(1+$H71)^5-$F$24*(1+$H71)^4)*$F$31)*(1+$F$33)/($F$32-$F$33)/(1+$F$32)^5+Valuation!$K$49-Valuation!$K$50-Valuation!$K$51)/Assumptions!$G$57</f>
        <v>32.241840765171588</v>
      </c>
      <c r="J71" s="217">
        <f>(SUMPRODUCT((($F$24*(1+$H71)^{1,2,3,4,5})*(($F$25+(J$70-$F$25)*{1,2,3,4,5}/5)*(1-$F$28)+$F$29-$F$30)-(($F$24*(1+$H71)^{1,2,3,4,5})-($F$24*(1+$H71)^({1,2,3,4,5}-1)))*$F$31)/(1+$F$32)^{1,2,3,4,5})+($F$24*(1+$H71)^5*(J$70*(1-$F$28)+$F$29-$F$30)-($F$24*(1+$H71)^5-$F$24*(1+$H71)^4)*$F$31)*(1+$F$33)/($F$32-$F$33)/(1+$F$32)^5+Valuation!$K$49-Valuation!$K$50-Valuation!$K$51)/Assumptions!$G$57</f>
        <v>40.888499838399888</v>
      </c>
      <c r="K71" s="217">
        <f>(SUMPRODUCT((($F$24*(1+$H71)^{1,2,3,4,5})*(($F$25+(K$70-$F$25)*{1,2,3,4,5}/5)*(1-$F$28)+$F$29-$F$30)-(($F$24*(1+$H71)^{1,2,3,4,5})-($F$24*(1+$H71)^({1,2,3,4,5}-1)))*$F$31)/(1+$F$32)^{1,2,3,4,5})+($F$24*(1+$H71)^5*(K$70*(1-$F$28)+$F$29-$F$30)-($F$24*(1+$H71)^5-$F$24*(1+$H71)^4)*$F$31)*(1+$F$33)/($F$32-$F$33)/(1+$F$32)^5+Valuation!$K$49-Valuation!$K$50-Valuation!$K$51)/Assumptions!$G$57</f>
        <v>51.369298715040244</v>
      </c>
      <c r="L71" s="217">
        <f>(SUMPRODUCT((($F$24*(1+$H71)^{1,2,3,4,5})*(($F$25+(L$70-$F$25)*{1,2,3,4,5}/5)*(1-$F$28)+$F$29-$F$30)-(($F$24*(1+$H71)^{1,2,3,4,5})-($F$24*(1+$H71)^({1,2,3,4,5}-1)))*$F$31)/(1+$F$32)^{1,2,3,4,5})+($F$24*(1+$H71)^5*(L$70*(1-$F$28)+$F$29-$F$30)-($F$24*(1+$H71)^5-$F$24*(1+$H71)^4)*$F$31)*(1+$F$33)/($F$32-$F$33)/(1+$F$32)^5+Valuation!$K$49-Valuation!$K$50-Valuation!$K$51)/Assumptions!$G$57</f>
        <v>61.85009759168058</v>
      </c>
      <c r="M71" s="217">
        <f>(SUMPRODUCT((($F$24*(1+$H71)^{1,2,3,4,5})*(($F$25+(M$70-$F$25)*{1,2,3,4,5}/5)*(1-$F$28)+$F$29-$F$30)-(($F$24*(1+$H71)^{1,2,3,4,5})-($F$24*(1+$H71)^({1,2,3,4,5}-1)))*$F$31)/(1+$F$32)^{1,2,3,4,5})+($F$24*(1+$H71)^5*(M$70*(1-$F$28)+$F$29-$F$30)-($F$24*(1+$H71)^5-$F$24*(1+$H71)^4)*$F$31)*(1+$F$33)/($F$32-$F$33)/(1+$F$32)^5+Valuation!$K$49-Valuation!$K$50-Valuation!$K$51)/Assumptions!$G$57</f>
        <v>72.330896468320958</v>
      </c>
      <c r="N71" s="217">
        <f>(SUMPRODUCT((($F$24*(1+$H71)^{1,2,3,4,5})*(($F$25+(N$70-$F$25)*{1,2,3,4,5}/5)*(1-$F$28)+$F$29-$F$30)-(($F$24*(1+$H71)^{1,2,3,4,5})-($F$24*(1+$H71)^({1,2,3,4,5}-1)))*$F$31)/(1+$F$32)^{1,2,3,4,5})+($F$24*(1+$H71)^5*(N$70*(1-$F$28)+$F$29-$F$30)-($F$24*(1+$H71)^5-$F$24*(1+$H71)^4)*$F$31)*(1+$F$33)/($F$32-$F$33)/(1+$F$32)^5+Valuation!$K$49-Valuation!$K$50-Valuation!$K$51)/Assumptions!$G$57</f>
        <v>82.811695344961322</v>
      </c>
    </row>
    <row r="72" spans="1:14" ht="15" customHeight="1" x14ac:dyDescent="0.3">
      <c r="H72" s="275">
        <v>0.15</v>
      </c>
      <c r="I72" s="217">
        <f>(SUMPRODUCT((($F$24*(1+$H72)^{1,2,3,4,5})*(($F$25+(I$70-$F$25)*{1,2,3,4,5}/5)*(1-$F$28)+$F$29-$F$30)-(($F$24*(1+$H72)^{1,2,3,4,5})-($F$24*(1+$H72)^({1,2,3,4,5}-1)))*$F$31)/(1+$F$32)^{1,2,3,4,5})+($F$24*(1+$H72)^5*(I$70*(1-$F$28)+$F$29-$F$30)-($F$24*(1+$H72)^5-$F$24*(1+$H72)^4)*$F$31)*(1+$F$33)/($F$32-$F$33)/(1+$F$32)^5+Valuation!$K$49-Valuation!$K$50-Valuation!$K$51)/Assumptions!$G$57</f>
        <v>35.928760964383962</v>
      </c>
      <c r="J72" s="217">
        <f>(SUMPRODUCT((($F$24*(1+$H72)^{1,2,3,4,5})*(($F$25+(J$70-$F$25)*{1,2,3,4,5}/5)*(1-$F$28)+$F$29-$F$30)-(($F$24*(1+$H72)^{1,2,3,4,5})-($F$24*(1+$H72)^({1,2,3,4,5}-1)))*$F$31)/(1+$F$32)^{1,2,3,4,5})+($F$24*(1+$H72)^5*(J$70*(1-$F$28)+$F$29-$F$30)-($F$24*(1+$H72)^5-$F$24*(1+$H72)^4)*$F$31)*(1+$F$33)/($F$32-$F$33)/(1+$F$32)^5+Valuation!$K$49-Valuation!$K$50-Valuation!$K$51)/Assumptions!$G$57</f>
        <v>46.067866687915192</v>
      </c>
      <c r="K72" s="217">
        <f>(SUMPRODUCT((($F$24*(1+$H72)^{1,2,3,4,5})*(($F$25+(K$70-$F$25)*{1,2,3,4,5}/5)*(1-$F$28)+$F$29-$F$30)-(($F$24*(1+$H72)^{1,2,3,4,5})-($F$24*(1+$H72)^({1,2,3,4,5}-1)))*$F$31)/(1+$F$32)^{1,2,3,4,5})+($F$24*(1+$H72)^5*(K$70*(1-$F$28)+$F$29-$F$30)-($F$24*(1+$H72)^5-$F$24*(1+$H72)^4)*$F$31)*(1+$F$33)/($F$32-$F$33)/(1+$F$32)^5+Valuation!$K$49-Valuation!$K$50-Valuation!$K$51)/Assumptions!$G$57</f>
        <v>58.357691807346974</v>
      </c>
      <c r="L72" s="217">
        <f>(SUMPRODUCT((($F$24*(1+$H72)^{1,2,3,4,5})*(($F$25+(L$70-$F$25)*{1,2,3,4,5}/5)*(1-$F$28)+$F$29-$F$30)-(($F$24*(1+$H72)^{1,2,3,4,5})-($F$24*(1+$H72)^({1,2,3,4,5}-1)))*$F$31)/(1+$F$32)^{1,2,3,4,5})+($F$24*(1+$H72)^5*(L$70*(1-$F$28)+$F$29-$F$30)-($F$24*(1+$H72)^5-$F$24*(1+$H72)^4)*$F$31)*(1+$F$33)/($F$32-$F$33)/(1+$F$32)^5+Valuation!$K$49-Valuation!$K$50-Valuation!$K$51)/Assumptions!$G$57</f>
        <v>70.647516926778749</v>
      </c>
      <c r="M72" s="217">
        <f>(SUMPRODUCT((($F$24*(1+$H72)^{1,2,3,4,5})*(($F$25+(M$70-$F$25)*{1,2,3,4,5}/5)*(1-$F$28)+$F$29-$F$30)-(($F$24*(1+$H72)^{1,2,3,4,5})-($F$24*(1+$H72)^({1,2,3,4,5}-1)))*$F$31)/(1+$F$32)^{1,2,3,4,5})+($F$24*(1+$H72)^5*(M$70*(1-$F$28)+$F$29-$F$30)-($F$24*(1+$H72)^5-$F$24*(1+$H72)^4)*$F$31)*(1+$F$33)/($F$32-$F$33)/(1+$F$32)^5+Valuation!$K$49-Valuation!$K$50-Valuation!$K$51)/Assumptions!$G$57</f>
        <v>82.937342046210546</v>
      </c>
      <c r="N72" s="217">
        <f>(SUMPRODUCT((($F$24*(1+$H72)^{1,2,3,4,5})*(($F$25+(N$70-$F$25)*{1,2,3,4,5}/5)*(1-$F$28)+$F$29-$F$30)-(($F$24*(1+$H72)^{1,2,3,4,5})-($F$24*(1+$H72)^({1,2,3,4,5}-1)))*$F$31)/(1+$F$32)^{1,2,3,4,5})+($F$24*(1+$H72)^5*(N$70*(1-$F$28)+$F$29-$F$30)-($F$24*(1+$H72)^5-$F$24*(1+$H72)^4)*$F$31)*(1+$F$33)/($F$32-$F$33)/(1+$F$32)^5+Valuation!$K$49-Valuation!$K$50-Valuation!$K$51)/Assumptions!$G$57</f>
        <v>95.227167165642342</v>
      </c>
    </row>
    <row r="73" spans="1:14" ht="15" customHeight="1" x14ac:dyDescent="0.3">
      <c r="H73" s="275">
        <v>0.2</v>
      </c>
      <c r="I73" s="217">
        <f>(SUMPRODUCT((($F$24*(1+$H73)^{1,2,3,4,5})*(($F$25+(I$70-$F$25)*{1,2,3,4,5}/5)*(1-$F$28)+$F$29-$F$30)-(($F$24*(1+$H73)^{1,2,3,4,5})-($F$24*(1+$H73)^({1,2,3,4,5}-1)))*$F$31)/(1+$F$32)^{1,2,3,4,5})+($F$24*(1+$H73)^5*(I$70*(1-$F$28)+$F$29-$F$30)-($F$24*(1+$H73)^5-$F$24*(1+$H73)^4)*$F$31)*(1+$F$33)/($F$32-$F$33)/(1+$F$32)^5+Valuation!$K$49-Valuation!$K$50-Valuation!$K$51)/Assumptions!$G$57</f>
        <v>41.499268973937603</v>
      </c>
      <c r="J73" s="217">
        <f>(SUMPRODUCT((($F$24*(1+$H73)^{1,2,3,4,5})*(($F$25+(J$70-$F$25)*{1,2,3,4,5}/5)*(1-$F$28)+$F$29-$F$30)-(($F$24*(1+$H73)^{1,2,3,4,5})-($F$24*(1+$H73)^({1,2,3,4,5}-1)))*$F$31)/(1+$F$32)^{1,2,3,4,5})+($F$24*(1+$H73)^5*(J$70*(1-$F$28)+$F$29-$F$30)-($F$24*(1+$H73)^5-$F$24*(1+$H73)^4)*$F$31)*(1+$F$33)/($F$32-$F$33)/(1+$F$32)^5+Valuation!$K$49-Valuation!$K$50-Valuation!$K$51)/Assumptions!$G$57</f>
        <v>53.915145672677937</v>
      </c>
      <c r="K73" s="217">
        <f>(SUMPRODUCT((($F$24*(1+$H73)^{1,2,3,4,5})*(($F$25+(K$70-$F$25)*{1,2,3,4,5}/5)*(1-$F$28)+$F$29-$F$30)-(($F$24*(1+$H73)^{1,2,3,4,5})-($F$24*(1+$H73)^({1,2,3,4,5}-1)))*$F$31)/(1+$F$32)^{1,2,3,4,5})+($F$24*(1+$H73)^5*(K$70*(1-$F$28)+$F$29-$F$30)-($F$24*(1+$H73)^5-$F$24*(1+$H73)^4)*$F$31)*(1+$F$33)/($F$32-$F$33)/(1+$F$32)^5+Valuation!$K$49-Valuation!$K$50-Valuation!$K$51)/Assumptions!$G$57</f>
        <v>68.964693186302583</v>
      </c>
      <c r="L73" s="217">
        <f>(SUMPRODUCT((($F$24*(1+$H73)^{1,2,3,4,5})*(($F$25+(L$70-$F$25)*{1,2,3,4,5}/5)*(1-$F$28)+$F$29-$F$30)-(($F$24*(1+$H73)^{1,2,3,4,5})-($F$24*(1+$H73)^({1,2,3,4,5}-1)))*$F$31)/(1+$F$32)^{1,2,3,4,5})+($F$24*(1+$H73)^5*(L$70*(1-$F$28)+$F$29-$F$30)-($F$24*(1+$H73)^5-$F$24*(1+$H73)^4)*$F$31)*(1+$F$33)/($F$32-$F$33)/(1+$F$32)^5+Valuation!$K$49-Valuation!$K$50-Valuation!$K$51)/Assumptions!$G$57</f>
        <v>84.0142406999272</v>
      </c>
      <c r="M73" s="217">
        <f>(SUMPRODUCT((($F$24*(1+$H73)^{1,2,3,4,5})*(($F$25+(M$70-$F$25)*{1,2,3,4,5}/5)*(1-$F$28)+$F$29-$F$30)-(($F$24*(1+$H73)^{1,2,3,4,5})-($F$24*(1+$H73)^({1,2,3,4,5}-1)))*$F$31)/(1+$F$32)^{1,2,3,4,5})+($F$24*(1+$H73)^5*(M$70*(1-$F$28)+$F$29-$F$30)-($F$24*(1+$H73)^5-$F$24*(1+$H73)^4)*$F$31)*(1+$F$33)/($F$32-$F$33)/(1+$F$32)^5+Valuation!$K$49-Valuation!$K$50-Valuation!$K$51)/Assumptions!$G$57</f>
        <v>99.063788213551859</v>
      </c>
      <c r="N73" s="217">
        <f>(SUMPRODUCT((($F$24*(1+$H73)^{1,2,3,4,5})*(($F$25+(N$70-$F$25)*{1,2,3,4,5}/5)*(1-$F$28)+$F$29-$F$30)-(($F$24*(1+$H73)^{1,2,3,4,5})-($F$24*(1+$H73)^({1,2,3,4,5}-1)))*$F$31)/(1+$F$32)^{1,2,3,4,5})+($F$24*(1+$H73)^5*(N$70*(1-$F$28)+$F$29-$F$30)-($F$24*(1+$H73)^5-$F$24*(1+$H73)^4)*$F$31)*(1+$F$33)/($F$32-$F$33)/(1+$F$32)^5+Valuation!$K$49-Valuation!$K$50-Valuation!$K$51)/Assumptions!$G$57</f>
        <v>114.11333572717652</v>
      </c>
    </row>
    <row r="74" spans="1:14" ht="15" customHeight="1" x14ac:dyDescent="0.3">
      <c r="H74" s="275">
        <v>0.25</v>
      </c>
      <c r="I74" s="217">
        <f>(SUMPRODUCT((($F$24*(1+$H74)^{1,2,3,4,5})*(($F$25+(I$70-$F$25)*{1,2,3,4,5}/5)*(1-$F$28)+$F$29-$F$30)-(($F$24*(1+$H74)^{1,2,3,4,5})-($F$24*(1+$H74)^({1,2,3,4,5}-1)))*$F$31)/(1+$F$32)^{1,2,3,4,5})+($F$24*(1+$H74)^5*(I$70*(1-$F$28)+$F$29-$F$30)-($F$24*(1+$H74)^5-$F$24*(1+$H74)^4)*$F$31)*(1+$F$33)/($F$32-$F$33)/(1+$F$32)^5+Valuation!$K$49-Valuation!$K$50-Valuation!$K$51)/Assumptions!$G$57</f>
        <v>47.979446713860348</v>
      </c>
      <c r="J74" s="217">
        <f>(SUMPRODUCT((($F$24*(1+$H74)^{1,2,3,4,5})*(($F$25+(J$70-$F$25)*{1,2,3,4,5}/5)*(1-$F$28)+$F$29-$F$30)-(($F$24*(1+$H74)^{1,2,3,4,5})-($F$24*(1+$H74)^({1,2,3,4,5}-1)))*$F$31)/(1+$F$32)^{1,2,3,4,5})+($F$24*(1+$H74)^5*(J$70*(1-$F$28)+$F$29-$F$30)-($F$24*(1+$H74)^5-$F$24*(1+$H74)^4)*$F$31)*(1+$F$33)/($F$32-$F$33)/(1+$F$32)^5+Valuation!$K$49-Valuation!$K$50-Valuation!$K$51)/Assumptions!$G$57</f>
        <v>63.071101540752345</v>
      </c>
      <c r="K74" s="217">
        <f>(SUMPRODUCT((($F$24*(1+$H74)^{1,2,3,4,5})*(($F$25+(K$70-$F$25)*{1,2,3,4,5}/5)*(1-$F$28)+$F$29-$F$30)-(($F$24*(1+$H74)^{1,2,3,4,5})-($F$24*(1+$H74)^({1,2,3,4,5}-1)))*$F$31)/(1+$F$32)^{1,2,3,4,5})+($F$24*(1+$H74)^5*(K$70*(1-$F$28)+$F$29-$F$30)-($F$24*(1+$H74)^5-$F$24*(1+$H74)^4)*$F$31)*(1+$F$33)/($F$32-$F$33)/(1+$F$32)^5+Valuation!$K$49-Valuation!$K$50-Valuation!$K$51)/Assumptions!$G$57</f>
        <v>81.364016482439595</v>
      </c>
      <c r="L74" s="217">
        <f>(SUMPRODUCT((($F$24*(1+$H74)^{1,2,3,4,5})*(($F$25+(L$70-$F$25)*{1,2,3,4,5}/5)*(1-$F$28)+$F$29-$F$30)-(($F$24*(1+$H74)^{1,2,3,4,5})-($F$24*(1+$H74)^({1,2,3,4,5}-1)))*$F$31)/(1+$F$32)^{1,2,3,4,5})+($F$24*(1+$H74)^5*(L$70*(1-$F$28)+$F$29-$F$30)-($F$24*(1+$H74)^5-$F$24*(1+$H74)^4)*$F$31)*(1+$F$33)/($F$32-$F$33)/(1+$F$32)^5+Valuation!$K$49-Valuation!$K$50-Valuation!$K$51)/Assumptions!$G$57</f>
        <v>99.656931424126867</v>
      </c>
      <c r="M74" s="217">
        <f>(SUMPRODUCT((($F$24*(1+$H74)^{1,2,3,4,5})*(($F$25+(M$70-$F$25)*{1,2,3,4,5}/5)*(1-$F$28)+$F$29-$F$30)-(($F$24*(1+$H74)^{1,2,3,4,5})-($F$24*(1+$H74)^({1,2,3,4,5}-1)))*$F$31)/(1+$F$32)^{1,2,3,4,5})+($F$24*(1+$H74)^5*(M$70*(1-$F$28)+$F$29-$F$30)-($F$24*(1+$H74)^5-$F$24*(1+$H74)^4)*$F$31)*(1+$F$33)/($F$32-$F$33)/(1+$F$32)^5+Valuation!$K$49-Valuation!$K$50-Valuation!$K$51)/Assumptions!$G$57</f>
        <v>117.94984636581417</v>
      </c>
      <c r="N74" s="217">
        <f>(SUMPRODUCT((($F$24*(1+$H74)^{1,2,3,4,5})*(($F$25+(N$70-$F$25)*{1,2,3,4,5}/5)*(1-$F$28)+$F$29-$F$30)-(($F$24*(1+$H74)^{1,2,3,4,5})-($F$24*(1+$H74)^({1,2,3,4,5}-1)))*$F$31)/(1+$F$32)^{1,2,3,4,5})+($F$24*(1+$H74)^5*(N$70*(1-$F$28)+$F$29-$F$30)-($F$24*(1+$H74)^5-$F$24*(1+$H74)^4)*$F$31)*(1+$F$33)/($F$32-$F$33)/(1+$F$32)^5+Valuation!$K$49-Valuation!$K$50-Valuation!$K$51)/Assumptions!$G$57</f>
        <v>136.24276130750144</v>
      </c>
    </row>
    <row r="75" spans="1:14" ht="15" customHeight="1" x14ac:dyDescent="0.3">
      <c r="H75" s="275">
        <v>0.3</v>
      </c>
      <c r="I75" s="217">
        <f>(SUMPRODUCT((($F$24*(1+$H75)^{1,2,3,4,5})*(($F$25+(I$70-$F$25)*{1,2,3,4,5}/5)*(1-$F$28)+$F$29-$F$30)-(($F$24*(1+$H75)^{1,2,3,4,5})-($F$24*(1+$H75)^({1,2,3,4,5}-1)))*$F$31)/(1+$F$32)^{1,2,3,4,5})+($F$24*(1+$H75)^5*(I$70*(1-$F$28)+$F$29-$F$30)-($F$24*(1+$H75)^5-$F$24*(1+$H75)^4)*$F$31)*(1+$F$33)/($F$32-$F$33)/(1+$F$32)^5+Valuation!$K$49-Valuation!$K$50-Valuation!$K$51)/Assumptions!$G$57</f>
        <v>55.477038092360637</v>
      </c>
      <c r="J75" s="217">
        <f>(SUMPRODUCT((($F$24*(1+$H75)^{1,2,3,4,5})*(($F$25+(J$70-$F$25)*{1,2,3,4,5}/5)*(1-$F$28)+$F$29-$F$30)-(($F$24*(1+$H75)^{1,2,3,4,5})-($F$24*(1+$H75)^({1,2,3,4,5}-1)))*$F$31)/(1+$F$32)^{1,2,3,4,5})+($F$24*(1+$H75)^5*(J$70*(1-$F$28)+$F$29-$F$30)-($F$24*(1+$H75)^5-$F$24*(1+$H75)^4)*$F$31)*(1+$F$33)/($F$32-$F$33)/(1+$F$32)^5+Valuation!$K$49-Valuation!$K$50-Valuation!$K$51)/Assumptions!$G$57</f>
        <v>73.694311367291107</v>
      </c>
      <c r="K75" s="217">
        <f>(SUMPRODUCT((($F$24*(1+$H75)^{1,2,3,4,5})*(($F$25+(K$70-$F$25)*{1,2,3,4,5}/5)*(1-$F$28)+$F$29-$F$30)-(($F$24*(1+$H75)^{1,2,3,4,5})-($F$24*(1+$H75)^({1,2,3,4,5}-1)))*$F$31)/(1+$F$32)^{1,2,3,4,5})+($F$24*(1+$H75)^5*(K$70*(1-$F$28)+$F$29-$F$30)-($F$24*(1+$H75)^5-$F$24*(1+$H75)^4)*$F$31)*(1+$F$33)/($F$32-$F$33)/(1+$F$32)^5+Valuation!$K$49-Valuation!$K$50-Valuation!$K$51)/Assumptions!$G$57</f>
        <v>95.775854730843179</v>
      </c>
      <c r="L75" s="217">
        <f>(SUMPRODUCT((($F$24*(1+$H75)^{1,2,3,4,5})*(($F$25+(L$70-$F$25)*{1,2,3,4,5}/5)*(1-$F$28)+$F$29-$F$30)-(($F$24*(1+$H75)^{1,2,3,4,5})-($F$24*(1+$H75)^({1,2,3,4,5}-1)))*$F$31)/(1+$F$32)^{1,2,3,4,5})+($F$24*(1+$H75)^5*(L$70*(1-$F$28)+$F$29-$F$30)-($F$24*(1+$H75)^5-$F$24*(1+$H75)^4)*$F$31)*(1+$F$33)/($F$32-$F$33)/(1+$F$32)^5+Valuation!$K$49-Valuation!$K$50-Valuation!$K$51)/Assumptions!$G$57</f>
        <v>117.85739809439524</v>
      </c>
      <c r="M75" s="217">
        <f>(SUMPRODUCT((($F$24*(1+$H75)^{1,2,3,4,5})*(($F$25+(M$70-$F$25)*{1,2,3,4,5}/5)*(1-$F$28)+$F$29-$F$30)-(($F$24*(1+$H75)^{1,2,3,4,5})-($F$24*(1+$H75)^({1,2,3,4,5}-1)))*$F$31)/(1+$F$32)^{1,2,3,4,5})+($F$24*(1+$H75)^5*(M$70*(1-$F$28)+$F$29-$F$30)-($F$24*(1+$H75)^5-$F$24*(1+$H75)^4)*$F$31)*(1+$F$33)/($F$32-$F$33)/(1+$F$32)^5+Valuation!$K$49-Valuation!$K$50-Valuation!$K$51)/Assumptions!$G$57</f>
        <v>139.93894145794738</v>
      </c>
      <c r="N75" s="217">
        <f>(SUMPRODUCT((($F$24*(1+$H75)^{1,2,3,4,5})*(($F$25+(N$70-$F$25)*{1,2,3,4,5}/5)*(1-$F$28)+$F$29-$F$30)-(($F$24*(1+$H75)^{1,2,3,4,5})-($F$24*(1+$H75)^({1,2,3,4,5}-1)))*$F$31)/(1+$F$32)^{1,2,3,4,5})+($F$24*(1+$H75)^5*(N$70*(1-$F$28)+$F$29-$F$30)-($F$24*(1+$H75)^5-$F$24*(1+$H75)^4)*$F$31)*(1+$F$33)/($F$32-$F$33)/(1+$F$32)^5+Valuation!$K$49-Valuation!$K$50-Valuation!$K$51)/Assumptions!$G$57</f>
        <v>162.02048482149939</v>
      </c>
    </row>
    <row r="76" spans="1:14" ht="15" customHeight="1" x14ac:dyDescent="0.3">
      <c r="H76" s="275">
        <v>0.35</v>
      </c>
      <c r="I76" s="217">
        <f>(SUMPRODUCT((($F$24*(1+$H76)^{1,2,3,4,5})*(($F$25+(I$70-$F$25)*{1,2,3,4,5}/5)*(1-$F$28)+$F$29-$F$30)-(($F$24*(1+$H76)^{1,2,3,4,5})-($F$24*(1+$H76)^({1,2,3,4,5}-1)))*$F$31)/(1+$F$32)^{1,2,3,4,5})+($F$24*(1+$H76)^5*(I$70*(1-$F$28)+$F$29-$F$30)-($F$24*(1+$H76)^5-$F$24*(1+$H76)^4)*$F$31)*(1+$F$33)/($F$32-$F$33)/(1+$F$32)^5+Valuation!$K$49-Valuation!$K$50-Valuation!$K$51)/Assumptions!$G$57</f>
        <v>64.107978947437473</v>
      </c>
      <c r="J76" s="217">
        <f>(SUMPRODUCT((($F$24*(1+$H76)^{1,2,3,4,5})*(($F$25+(J$70-$F$25)*{1,2,3,4,5}/5)*(1-$F$28)+$F$29-$F$30)-(($F$24*(1+$H76)^{1,2,3,4,5})-($F$24*(1+$H76)^({1,2,3,4,5}-1)))*$F$31)/(1+$F$32)^{1,2,3,4,5})+($F$24*(1+$H76)^5*(J$70*(1-$F$28)+$F$29-$F$30)-($F$24*(1+$H76)^5-$F$24*(1+$H76)^4)*$F$31)*(1+$F$33)/($F$32-$F$33)/(1+$F$32)^5+Valuation!$K$49-Valuation!$K$50-Valuation!$K$51)/Assumptions!$G$57</f>
        <v>85.955713724220658</v>
      </c>
      <c r="K76" s="217">
        <f>(SUMPRODUCT((($F$24*(1+$H76)^{1,2,3,4,5})*(($F$25+(K$70-$F$25)*{1,2,3,4,5}/5)*(1-$F$28)+$F$29-$F$30)-(($F$24*(1+$H76)^{1,2,3,4,5})-($F$24*(1+$H76)^({1,2,3,4,5}-1)))*$F$31)/(1+$F$32)^{1,2,3,4,5})+($F$24*(1+$H76)^5*(K$70*(1-$F$28)+$F$29-$F$30)-($F$24*(1+$H76)^5-$F$24*(1+$H76)^4)*$F$31)*(1+$F$33)/($F$32-$F$33)/(1+$F$32)^5+Valuation!$K$49-Valuation!$K$50-Valuation!$K$51)/Assumptions!$G$57</f>
        <v>112.4378164839578</v>
      </c>
      <c r="L76" s="217">
        <f>(SUMPRODUCT((($F$24*(1+$H76)^{1,2,3,4,5})*(($F$25+(L$70-$F$25)*{1,2,3,4,5}/5)*(1-$F$28)+$F$29-$F$30)-(($F$24*(1+$H76)^{1,2,3,4,5})-($F$24*(1+$H76)^({1,2,3,4,5}-1)))*$F$31)/(1+$F$32)^{1,2,3,4,5})+($F$24*(1+$H76)^5*(L$70*(1-$F$28)+$F$29-$F$30)-($F$24*(1+$H76)^5-$F$24*(1+$H76)^4)*$F$31)*(1+$F$33)/($F$32-$F$33)/(1+$F$32)^5+Valuation!$K$49-Valuation!$K$50-Valuation!$K$51)/Assumptions!$G$57</f>
        <v>138.91991924369501</v>
      </c>
      <c r="M76" s="217">
        <f>(SUMPRODUCT((($F$24*(1+$H76)^{1,2,3,4,5})*(($F$25+(M$70-$F$25)*{1,2,3,4,5}/5)*(1-$F$28)+$F$29-$F$30)-(($F$24*(1+$H76)^{1,2,3,4,5})-($F$24*(1+$H76)^({1,2,3,4,5}-1)))*$F$31)/(1+$F$32)^{1,2,3,4,5})+($F$24*(1+$H76)^5*(M$70*(1-$F$28)+$F$29-$F$30)-($F$24*(1+$H76)^5-$F$24*(1+$H76)^4)*$F$31)*(1+$F$33)/($F$32-$F$33)/(1+$F$32)^5+Valuation!$K$49-Valuation!$K$50-Valuation!$K$51)/Assumptions!$G$57</f>
        <v>165.40202200343225</v>
      </c>
      <c r="N76" s="217">
        <f>(SUMPRODUCT((($F$24*(1+$H76)^{1,2,3,4,5})*(($F$25+(N$70-$F$25)*{1,2,3,4,5}/5)*(1-$F$28)+$F$29-$F$30)-(($F$24*(1+$H76)^{1,2,3,4,5})-($F$24*(1+$H76)^({1,2,3,4,5}-1)))*$F$31)/(1+$F$32)^{1,2,3,4,5})+($F$24*(1+$H76)^5*(N$70*(1-$F$28)+$F$29-$F$30)-($F$24*(1+$H76)^5-$F$24*(1+$H76)^4)*$F$31)*(1+$F$33)/($F$32-$F$33)/(1+$F$32)^5+Valuation!$K$49-Valuation!$K$50-Valuation!$K$51)/Assumptions!$G$57</f>
        <v>191.88412476316941</v>
      </c>
    </row>
    <row r="77" spans="1:14" ht="15" customHeight="1" x14ac:dyDescent="0.3">
      <c r="C77" s="358" t="s">
        <v>660</v>
      </c>
      <c r="D77" s="297"/>
      <c r="E77" s="297"/>
      <c r="F77" s="297"/>
      <c r="G77" s="297"/>
      <c r="H77" s="297"/>
      <c r="I77" s="297"/>
      <c r="J77" s="297"/>
      <c r="K77" s="297"/>
      <c r="L77" s="297"/>
      <c r="M77" s="297"/>
      <c r="N77" s="297"/>
    </row>
    <row r="78" spans="1:14" x14ac:dyDescent="0.3">
      <c r="C78" s="209" t="s">
        <v>661</v>
      </c>
    </row>
    <row r="79" spans="1:14" ht="16.95" customHeight="1" x14ac:dyDescent="0.3">
      <c r="H79" s="275">
        <f>$F$55</f>
        <v>-0.91433472177598751</v>
      </c>
      <c r="I79" s="208">
        <f t="shared" ref="I79:N79" si="0">I70</f>
        <v>0.127</v>
      </c>
      <c r="J79" s="208">
        <f t="shared" si="0"/>
        <v>0.16</v>
      </c>
      <c r="K79" s="208">
        <f t="shared" si="0"/>
        <v>0.2</v>
      </c>
      <c r="L79" s="208">
        <f t="shared" si="0"/>
        <v>0.24</v>
      </c>
      <c r="M79" s="208">
        <f t="shared" si="0"/>
        <v>0.28000000000000003</v>
      </c>
      <c r="N79" s="208">
        <f t="shared" si="0"/>
        <v>0.32</v>
      </c>
    </row>
    <row r="80" spans="1:14" ht="15" customHeight="1" x14ac:dyDescent="0.3">
      <c r="H80" s="275">
        <f t="shared" ref="H80:H85" si="1">H71</f>
        <v>0.112</v>
      </c>
      <c r="I80" s="277">
        <f t="shared" ref="I80:N85" si="2">I71/$F$6-1</f>
        <v>-0.91433472177598751</v>
      </c>
      <c r="J80" s="278">
        <f t="shared" si="2"/>
        <v>-0.89136089529346152</v>
      </c>
      <c r="K80" s="278">
        <f t="shared" si="2"/>
        <v>-0.86351383289039974</v>
      </c>
      <c r="L80" s="278">
        <f t="shared" si="2"/>
        <v>-0.83566677048733806</v>
      </c>
      <c r="M80" s="278">
        <f t="shared" si="2"/>
        <v>-0.80781970808427617</v>
      </c>
      <c r="N80" s="278">
        <f t="shared" si="2"/>
        <v>-0.77997264568121438</v>
      </c>
    </row>
    <row r="81" spans="1:14" ht="15" customHeight="1" x14ac:dyDescent="0.3">
      <c r="H81" s="275">
        <f t="shared" si="1"/>
        <v>0.15</v>
      </c>
      <c r="I81" s="278">
        <f t="shared" si="2"/>
        <v>-0.90453872262830737</v>
      </c>
      <c r="J81" s="278">
        <f t="shared" si="2"/>
        <v>-0.87759952523337359</v>
      </c>
      <c r="K81" s="278">
        <f t="shared" si="2"/>
        <v>-0.84494595263345385</v>
      </c>
      <c r="L81" s="278">
        <f t="shared" si="2"/>
        <v>-0.81229238003353421</v>
      </c>
      <c r="M81" s="278">
        <f t="shared" si="2"/>
        <v>-0.77963880743361447</v>
      </c>
      <c r="N81" s="278">
        <f t="shared" si="2"/>
        <v>-0.74698523483369472</v>
      </c>
    </row>
    <row r="82" spans="1:14" ht="15" customHeight="1" x14ac:dyDescent="0.3">
      <c r="H82" s="275">
        <f t="shared" si="1"/>
        <v>0.2</v>
      </c>
      <c r="I82" s="278">
        <f t="shared" si="2"/>
        <v>-0.88973810618822546</v>
      </c>
      <c r="J82" s="278">
        <f t="shared" si="2"/>
        <v>-0.85674961959593499</v>
      </c>
      <c r="K82" s="278">
        <f t="shared" si="2"/>
        <v>-0.81676357524164367</v>
      </c>
      <c r="L82" s="278">
        <f t="shared" si="2"/>
        <v>-0.77677753088735235</v>
      </c>
      <c r="M82" s="278">
        <f t="shared" si="2"/>
        <v>-0.73679148653306092</v>
      </c>
      <c r="N82" s="278">
        <f t="shared" si="2"/>
        <v>-0.6968054421787695</v>
      </c>
    </row>
    <row r="83" spans="1:14" ht="15" customHeight="1" x14ac:dyDescent="0.3">
      <c r="H83" s="275">
        <f t="shared" si="1"/>
        <v>0.25</v>
      </c>
      <c r="I83" s="278">
        <f t="shared" si="2"/>
        <v>-0.8725205337464188</v>
      </c>
      <c r="J83" s="278">
        <f t="shared" si="2"/>
        <v>-0.83242261194900669</v>
      </c>
      <c r="K83" s="278">
        <f t="shared" si="2"/>
        <v>-0.78381907037638598</v>
      </c>
      <c r="L83" s="278">
        <f t="shared" si="2"/>
        <v>-0.73521552880376528</v>
      </c>
      <c r="M83" s="278">
        <f t="shared" si="2"/>
        <v>-0.68661198723114447</v>
      </c>
      <c r="N83" s="278">
        <f t="shared" si="2"/>
        <v>-0.63800844565852377</v>
      </c>
    </row>
    <row r="84" spans="1:14" ht="15" customHeight="1" x14ac:dyDescent="0.3">
      <c r="H84" s="275">
        <f t="shared" si="1"/>
        <v>0.3</v>
      </c>
      <c r="I84" s="278">
        <f t="shared" si="2"/>
        <v>-0.85259973405861089</v>
      </c>
      <c r="J84" s="278">
        <f t="shared" si="2"/>
        <v>-0.80419716936182184</v>
      </c>
      <c r="K84" s="278">
        <f t="shared" si="2"/>
        <v>-0.74552739397177459</v>
      </c>
      <c r="L84" s="278">
        <f t="shared" si="2"/>
        <v>-0.68685761858172745</v>
      </c>
      <c r="M84" s="278">
        <f t="shared" si="2"/>
        <v>-0.62818784319168008</v>
      </c>
      <c r="N84" s="278">
        <f t="shared" si="2"/>
        <v>-0.56951806780163294</v>
      </c>
    </row>
    <row r="85" spans="1:14" ht="15" customHeight="1" x14ac:dyDescent="0.3">
      <c r="H85" s="275">
        <f t="shared" si="1"/>
        <v>0.35</v>
      </c>
      <c r="I85" s="278">
        <f t="shared" si="2"/>
        <v>-0.82966767025151456</v>
      </c>
      <c r="J85" s="278">
        <f t="shared" si="2"/>
        <v>-0.77161911490230184</v>
      </c>
      <c r="K85" s="278">
        <f t="shared" si="2"/>
        <v>-0.70125722963052906</v>
      </c>
      <c r="L85" s="278">
        <f t="shared" si="2"/>
        <v>-0.63089534435875594</v>
      </c>
      <c r="M85" s="278">
        <f t="shared" si="2"/>
        <v>-0.56053345908698282</v>
      </c>
      <c r="N85" s="278">
        <f t="shared" si="2"/>
        <v>-0.49017157381521004</v>
      </c>
    </row>
    <row r="86" spans="1:14" ht="7.95" customHeight="1" x14ac:dyDescent="0.3"/>
    <row r="87" spans="1:14" ht="16.95" customHeight="1" x14ac:dyDescent="0.3">
      <c r="A87" s="24" t="s">
        <v>662</v>
      </c>
      <c r="B87" s="25"/>
      <c r="C87" s="25"/>
      <c r="D87" s="25"/>
      <c r="E87" s="25"/>
      <c r="F87" s="25"/>
      <c r="G87" s="25"/>
      <c r="H87" s="25"/>
      <c r="I87" s="25"/>
      <c r="J87" s="25"/>
      <c r="K87" s="25"/>
      <c r="L87" s="25"/>
      <c r="M87" s="25"/>
      <c r="N87" s="25"/>
    </row>
    <row r="88" spans="1:14" ht="15" customHeight="1" x14ac:dyDescent="0.3">
      <c r="C88" s="303" t="s">
        <v>663</v>
      </c>
      <c r="D88" s="297"/>
      <c r="E88" s="297"/>
      <c r="F88" s="297"/>
      <c r="G88" s="297"/>
      <c r="H88" s="297"/>
      <c r="I88" s="297"/>
      <c r="J88" s="297"/>
      <c r="K88" s="297"/>
      <c r="L88" s="297"/>
      <c r="M88" s="297"/>
      <c r="N88" s="297"/>
    </row>
    <row r="89" spans="1:14" ht="16.95" customHeight="1" x14ac:dyDescent="0.3">
      <c r="C89" s="92" t="s">
        <v>664</v>
      </c>
      <c r="H89" s="208">
        <v>0.12</v>
      </c>
      <c r="I89" s="208">
        <v>0.1</v>
      </c>
      <c r="J89" s="208">
        <v>0.08</v>
      </c>
      <c r="K89" s="208">
        <v>0.06</v>
      </c>
      <c r="L89" s="208">
        <v>0.05</v>
      </c>
    </row>
    <row r="90" spans="1:14" ht="15" customHeight="1" x14ac:dyDescent="0.3">
      <c r="C90" s="92" t="s">
        <v>665</v>
      </c>
      <c r="H90" s="279">
        <f>(SUMPRODUCT((($F$24*(1+$F$26)^{1,2,3,4,5})*(($F$25+($F$27-$F$25)*{1,2,3,4,5}/5)*(1-$F$28)+$F$29-$F$30)-(($F$24*(1+$F$26)^{1,2,3,4,5})-($F$24*(1+$F$26)^({1,2,3,4,5}-1)))*$F$31)/(1+H$89)^{1,2,3,4,5})+($F$24*(1+$F$26)^5*($F$27*(1-$F$28)+$F$29-$F$30)-($F$24*(1+$F$26)^5-$F$24*(1+$F$26)^4)*$F$31)*(1+$F$33)/(H$89-$F$33)/(1+H$89)^5+Valuation!$K$49-Valuation!$K$50-Valuation!$K$51)/Assumptions!$G$57</f>
        <v>33.490620976946246</v>
      </c>
      <c r="I90" s="279">
        <f>(SUMPRODUCT((($F$24*(1+$F$26)^{1,2,3,4,5})*(($F$25+($F$27-$F$25)*{1,2,3,4,5}/5)*(1-$F$28)+$F$29-$F$30)-(($F$24*(1+$F$26)^{1,2,3,4,5})-($F$24*(1+$F$26)^({1,2,3,4,5}-1)))*$F$31)/(1+I$89)^{1,2,3,4,5})+($F$24*(1+$F$26)^5*($F$27*(1-$F$28)+$F$29-$F$30)-($F$24*(1+$F$26)^5-$F$24*(1+$F$26)^4)*$F$31)*(1+$F$33)/(I$89-$F$33)/(1+I$89)^5+Valuation!$K$49-Valuation!$K$50-Valuation!$K$51)/Assumptions!$G$57</f>
        <v>42.621480138340083</v>
      </c>
      <c r="J90" s="279">
        <f>(SUMPRODUCT((($F$24*(1+$F$26)^{1,2,3,4,5})*(($F$25+($F$27-$F$25)*{1,2,3,4,5}/5)*(1-$F$28)+$F$29-$F$30)-(($F$24*(1+$F$26)^{1,2,3,4,5})-($F$24*(1+$F$26)^({1,2,3,4,5}-1)))*$F$31)/(1+J$89)^{1,2,3,4,5})+($F$24*(1+$F$26)^5*($F$27*(1-$F$28)+$F$29-$F$30)-($F$24*(1+$F$26)^5-$F$24*(1+$F$26)^4)*$F$31)*(1+$F$33)/(J$89-$F$33)/(1+J$89)^5+Valuation!$K$49-Valuation!$K$50-Valuation!$K$51)/Assumptions!$G$57</f>
        <v>60.58226345244276</v>
      </c>
      <c r="K90" s="279">
        <f>(SUMPRODUCT((($F$24*(1+$F$26)^{1,2,3,4,5})*(($F$25+($F$27-$F$25)*{1,2,3,4,5}/5)*(1-$F$28)+$F$29-$F$30)-(($F$24*(1+$F$26)^{1,2,3,4,5})-($F$24*(1+$F$26)^({1,2,3,4,5}-1)))*$F$31)/(1+K$89)^{1,2,3,4,5})+($F$24*(1+$F$26)^5*($F$27*(1-$F$28)+$F$29-$F$30)-($F$24*(1+$F$26)^5-$F$24*(1+$F$26)^4)*$F$31)*(1+$F$33)/(K$89-$F$33)/(1+K$89)^5+Valuation!$K$49-Valuation!$K$50-Valuation!$K$51)/Assumptions!$G$57</f>
        <v>111.48073182481824</v>
      </c>
      <c r="L90" s="279">
        <f>(SUMPRODUCT((($F$24*(1+$F$26)^{1,2,3,4,5})*(($F$25+($F$27-$F$25)*{1,2,3,4,5}/5)*(1-$F$28)+$F$29-$F$30)-(($F$24*(1+$F$26)^{1,2,3,4,5})-($F$24*(1+$F$26)^({1,2,3,4,5}-1)))*$F$31)/(1+L$89)^{1,2,3,4,5})+($F$24*(1+$F$26)^5*($F$27*(1-$F$28)+$F$29-$F$30)-($F$24*(1+$F$26)^5-$F$24*(1+$F$26)^4)*$F$31)*(1+$F$33)/(L$89-$F$33)/(1+L$89)^5+Valuation!$K$49-Valuation!$K$50-Valuation!$K$51)/Assumptions!$G$57</f>
        <v>200.76335292421922</v>
      </c>
    </row>
    <row r="91" spans="1:14" ht="7.95" customHeight="1" x14ac:dyDescent="0.3"/>
    <row r="92" spans="1:14" ht="16.95" customHeight="1" x14ac:dyDescent="0.3">
      <c r="A92" s="24" t="s">
        <v>666</v>
      </c>
      <c r="B92" s="25"/>
      <c r="C92" s="25"/>
      <c r="D92" s="25"/>
      <c r="E92" s="25"/>
      <c r="F92" s="25"/>
      <c r="G92" s="25"/>
      <c r="H92" s="25"/>
      <c r="I92" s="25"/>
      <c r="J92" s="25"/>
      <c r="K92" s="25"/>
      <c r="L92" s="25"/>
      <c r="M92" s="25"/>
      <c r="N92" s="25"/>
    </row>
    <row r="93" spans="1:14" ht="15" customHeight="1" x14ac:dyDescent="0.3">
      <c r="C93" s="371" t="str">
        <f>"At "&amp;TEXT($F$6,"$0.00")&amp;" per share the market implies an enterprise value of $"&amp;TEXT($F$12,"#,##0")&amp;"M, which is "&amp;TEXT($F$18,"0.0")&amp;"x the fundamental DCF enterprise value. Justifying it on the modelled economics would require FY2030E free cash flow of about $"&amp;TEXT($F$59,"#,##0")&amp;"M, roughly "&amp;TEXT($F$61,"0.0")&amp;"x the Base Case, on implied FY2030E revenue of about $"&amp;TEXT($F$63,"#,##0")&amp;"M at the modelled margin — or an EBIT margin of "&amp;TEXT($F$64,"0.0%")&amp;" if revenue only reached the Bull Case. Across the grid the highest implied value is "&amp;TEXT(MAX(I71:N76),"$0.00")&amp;" per share, "&amp;TEXT(MAX(I71:N76)/$F$6-1,"0.0%")&amp;" versus the market, and at a "&amp;TEXT(L89,"0.0%")&amp;" discount rate the Base Case still implies only "&amp;TEXT(L90,"$0.00")&amp;_xlfn._LONGTEXT(". The gap is therefore not a discount-rate or terminal-growth artefact: at the current price the market appears to require operating performance materially above the fundamental Base Case, or to be capitalising businesses this model does not forecast as s","eparate cash-flow streams.")</f>
        <v>At $376.37 per share the market implies an enterprise value of $1,451,707M, which is 15.5x the fundamental DCF enterprise value. Justifying it on the modelled economics would require FY2030E free cash flow of about $169,982M, roughly 15.7x the Base Case, on implied FY2030E revenue of about $2,533,154M at the modelled margin — or an EBIT margin of 155.8% if revenue only reached the Bull Case. Across the grid the highest implied value is $191.88 per share, -49.0% versus the market, and at a 5.0% discount rate the Base Case still implies only $200.76. The gap is therefore not a discount-rate or terminal-growth artefact: at the current price the market appears to require operating performance materially above the fundamental Base Case, or to be capitalising businesses this model does not forecast as separate cash-flow streams.</v>
      </c>
      <c r="D93" s="297"/>
      <c r="E93" s="297"/>
      <c r="F93" s="297"/>
      <c r="G93" s="297"/>
      <c r="H93" s="297"/>
      <c r="I93" s="297"/>
      <c r="J93" s="297"/>
      <c r="K93" s="297"/>
      <c r="L93" s="297"/>
      <c r="M93" s="297"/>
      <c r="N93" s="297"/>
    </row>
    <row r="94" spans="1:14" ht="15" customHeight="1" x14ac:dyDescent="0.3">
      <c r="C94" s="297"/>
      <c r="D94" s="297"/>
      <c r="E94" s="297"/>
      <c r="F94" s="297"/>
      <c r="G94" s="297"/>
      <c r="H94" s="297"/>
      <c r="I94" s="297"/>
      <c r="J94" s="297"/>
      <c r="K94" s="297"/>
      <c r="L94" s="297"/>
      <c r="M94" s="297"/>
      <c r="N94" s="297"/>
    </row>
    <row r="95" spans="1:14" ht="15" customHeight="1" x14ac:dyDescent="0.3">
      <c r="C95" s="297"/>
      <c r="D95" s="297"/>
      <c r="E95" s="297"/>
      <c r="F95" s="297"/>
      <c r="G95" s="297"/>
      <c r="H95" s="297"/>
      <c r="I95" s="297"/>
      <c r="J95" s="297"/>
      <c r="K95" s="297"/>
      <c r="L95" s="297"/>
      <c r="M95" s="297"/>
      <c r="N95" s="297"/>
    </row>
  </sheetData>
  <mergeCells count="12">
    <mergeCell ref="C93:N95"/>
    <mergeCell ref="C88:N88"/>
    <mergeCell ref="C56:N56"/>
    <mergeCell ref="C68:N68"/>
    <mergeCell ref="C77:N77"/>
    <mergeCell ref="A1:D1"/>
    <mergeCell ref="C65:N65"/>
    <mergeCell ref="C19:N19"/>
    <mergeCell ref="E1:F1"/>
    <mergeCell ref="A2:N2"/>
    <mergeCell ref="G1:N1"/>
    <mergeCell ref="C22:N22"/>
  </mergeCells>
  <conditionalFormatting sqref="I71:N76">
    <cfRule type="cellIs" dxfId="1" priority="1" operator="between">
      <formula>$F$6*0.9</formula>
      <formula>$F$6*1.1</formula>
    </cfRule>
  </conditionalFormatting>
  <hyperlinks>
    <hyperlink ref="E1" location="Cover!A1" display="◄  Cover"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F4147"/>
  </sheetPr>
  <dimension ref="A1:G20"/>
  <sheetViews>
    <sheetView showGridLines="0" workbookViewId="0">
      <selection activeCell="E15" sqref="E15"/>
    </sheetView>
  </sheetViews>
  <sheetFormatPr defaultRowHeight="14.4" x14ac:dyDescent="0.3"/>
  <cols>
    <col min="1" max="2" width="2.21875" customWidth="1"/>
    <col min="3" max="3" width="46" customWidth="1"/>
    <col min="4" max="4" width="1.5546875" customWidth="1"/>
    <col min="5" max="5" width="13" customWidth="1"/>
    <col min="6" max="6" width="1.5546875" customWidth="1"/>
    <col min="7" max="7" width="62" customWidth="1"/>
  </cols>
  <sheetData>
    <row r="1" spans="1:7" ht="27" customHeight="1" x14ac:dyDescent="0.3">
      <c r="A1" s="301" t="s">
        <v>1</v>
      </c>
      <c r="B1" s="299"/>
      <c r="C1" s="299"/>
      <c r="D1" s="299"/>
      <c r="E1" s="298" t="s">
        <v>71</v>
      </c>
      <c r="F1" s="299"/>
      <c r="G1" s="304" t="s">
        <v>667</v>
      </c>
    </row>
    <row r="2" spans="1:7" ht="13.05" customHeight="1" x14ac:dyDescent="0.3">
      <c r="A2" s="303" t="s">
        <v>668</v>
      </c>
      <c r="B2" s="297"/>
      <c r="C2" s="297"/>
      <c r="D2" s="297"/>
      <c r="E2" s="297"/>
      <c r="F2" s="297"/>
      <c r="G2" s="297"/>
    </row>
    <row r="3" spans="1:7" ht="6" customHeight="1" x14ac:dyDescent="0.3"/>
    <row r="4" spans="1:7" ht="16.95" customHeight="1" x14ac:dyDescent="0.3">
      <c r="A4" s="24" t="s">
        <v>669</v>
      </c>
      <c r="B4" s="25"/>
      <c r="C4" s="25"/>
      <c r="D4" s="25"/>
      <c r="E4" s="25"/>
      <c r="F4" s="25"/>
      <c r="G4" s="25"/>
    </row>
    <row r="5" spans="1:7" ht="18" customHeight="1" x14ac:dyDescent="0.3">
      <c r="C5" s="110" t="s">
        <v>670</v>
      </c>
      <c r="E5" s="111" t="s">
        <v>671</v>
      </c>
      <c r="G5" s="111" t="s">
        <v>672</v>
      </c>
    </row>
    <row r="6" spans="1:7" ht="16.95" customHeight="1" x14ac:dyDescent="0.3">
      <c r="C6" s="220" t="s">
        <v>673</v>
      </c>
      <c r="E6" s="280" t="str">
        <f>IF(COUNTIF(BS!$G$37:$P$37,"PASS")=10,"PASS","FAIL")</f>
        <v>PASS</v>
      </c>
      <c r="G6" s="281" t="s">
        <v>674</v>
      </c>
    </row>
    <row r="7" spans="1:7" ht="16.95" customHeight="1" x14ac:dyDescent="0.3">
      <c r="C7" s="220" t="s">
        <v>675</v>
      </c>
      <c r="E7" s="280" t="str">
        <f>IF(COUNTIF(Cashflow!$G$34:$P$34,"PASS")=10,"PASS","FAIL")</f>
        <v>PASS</v>
      </c>
      <c r="G7" s="281" t="s">
        <v>676</v>
      </c>
    </row>
    <row r="8" spans="1:7" ht="16.95" customHeight="1" x14ac:dyDescent="0.3">
      <c r="C8" s="236" t="s">
        <v>677</v>
      </c>
      <c r="E8" s="280" t="str">
        <f>IF(SUMPRODUCT(--(ABS(BS!$L$31:$P$31-(BS!$K$31:$O$31+IS!$L$43:$P$43))&gt;0.5))=0,"PASS","FAIL")</f>
        <v>PASS</v>
      </c>
      <c r="G8" s="281" t="s">
        <v>678</v>
      </c>
    </row>
    <row r="9" spans="1:7" ht="16.95" customHeight="1" x14ac:dyDescent="0.3">
      <c r="C9" s="236" t="s">
        <v>679</v>
      </c>
      <c r="E9" s="280" t="str">
        <f>IF(SUMPRODUCT(--(ABS(BS!$G$20:$P$20+BS!$G$23:$P$23-'Loans &amp; Other Income'!$G$8:$P$8)&gt;0.5))=0,"PASS","FAIL")</f>
        <v>PASS</v>
      </c>
      <c r="G9" s="281" t="s">
        <v>680</v>
      </c>
    </row>
    <row r="10" spans="1:7" ht="16.95" customHeight="1" x14ac:dyDescent="0.3">
      <c r="C10" s="220" t="s">
        <v>681</v>
      </c>
      <c r="E10" s="280" t="str">
        <f>IF(AND(Assumptions!$L$2&gt;=1,Assumptions!$L$2&lt;=3,Assumptions!$L$2=INT(Assumptions!$L$2)),"PASS","FAIL")</f>
        <v>PASS</v>
      </c>
      <c r="G10" s="281" t="s">
        <v>682</v>
      </c>
    </row>
    <row r="11" spans="1:7" ht="16.95" customHeight="1" x14ac:dyDescent="0.3">
      <c r="C11" s="220" t="s">
        <v>683</v>
      </c>
      <c r="E11" s="280" t="str">
        <f>IF(Valuation!$F$17&gt;Valuation!$F$18,"PASS","FAIL")</f>
        <v>PASS</v>
      </c>
      <c r="G11" s="281" t="s">
        <v>684</v>
      </c>
    </row>
    <row r="12" spans="1:7" ht="16.95" customHeight="1" x14ac:dyDescent="0.3">
      <c r="C12" s="236" t="s">
        <v>685</v>
      </c>
      <c r="E12" s="280" t="str">
        <f>IF(AND(COUNT(IS!$G$8:$K$8)=5,COUNT(BS!$G$14:$K$14)=5,COUNT('Revenue Build-up'!$G$5:$K$5)=5,COUNT(Cashflow!$G$32:$K$32)=5),"PASS","FAIL")</f>
        <v>PASS</v>
      </c>
      <c r="G12" s="281" t="s">
        <v>686</v>
      </c>
    </row>
    <row r="13" spans="1:7" ht="16.95" customHeight="1" x14ac:dyDescent="0.3">
      <c r="C13" s="236" t="s">
        <v>687</v>
      </c>
      <c r="E13" s="280" t="str">
        <f>IF(SUMPRODUCT(--(ABS(IS!$L$8:$P$8-('Revenue Build-up'!$L$9:$P$9+'Revenue Build-up'!$L$12:$P$12+'Revenue Build-up'!$L$15:$P$15))&gt;0.5))+SUMPRODUCT(--(ABS(IS!$L$25:$P$25-(IS!$L$16:$P$16-IS!$L$23:$P$23))&gt;0.5))+SUMPRODUCT(--(ABS(Valuation!$L$28:$P$28-(Valuation!$L$24:$P$24+Valuation!$L$25:$P$25-Valuation!$L$26:$P$26-Valuation!$L$27:$P$27))&gt;0.5))=0,"PASS","FAIL")</f>
        <v>PASS</v>
      </c>
      <c r="G13" s="281" t="s">
        <v>688</v>
      </c>
    </row>
    <row r="14" spans="1:7" ht="16.95" customHeight="1" x14ac:dyDescent="0.3">
      <c r="C14" s="236" t="s">
        <v>689</v>
      </c>
      <c r="E14" s="280" t="str">
        <f ca="1">IF(ISERROR(_xlfn.FORMULATEXT(IS!$G$8)),"n/a — needs Excel 2013+",IF(SUMPRODUCT(--ISNUMBER(SEARCH("[",IFERROR(_xlfn.FORMULATEXT(Valuation!$C$5:$P$94),""))))+SUMPRODUCT(--ISNUMBER(SEARCH("[",IFERROR(_xlfn.FORMULATEXT(IS!$G$5:$P$48),""))))=0,"PASS","FAIL"))</f>
        <v>PASS</v>
      </c>
      <c r="G14" s="281" t="s">
        <v>690</v>
      </c>
    </row>
    <row r="15" spans="1:7" ht="16.95" customHeight="1" x14ac:dyDescent="0.3">
      <c r="C15" s="236" t="s">
        <v>691</v>
      </c>
      <c r="E15" s="280" t="str">
        <f>IF(SUMPRODUCT(--ISERROR(IS!$G$5:$P$48))+SUMPRODUCT(--ISERROR(BS!$G$5:$P$35))+SUMPRODUCT(--ISERROR(Valuation!$L$22:$P$44))=0,"PASS","FAIL")</f>
        <v>PASS</v>
      </c>
      <c r="G15" s="281" t="s">
        <v>692</v>
      </c>
    </row>
    <row r="16" spans="1:7" ht="7.95" customHeight="1" x14ac:dyDescent="0.3"/>
    <row r="17" spans="1:7" ht="16.95" customHeight="1" x14ac:dyDescent="0.3">
      <c r="A17" s="24" t="s">
        <v>693</v>
      </c>
      <c r="B17" s="25"/>
      <c r="C17" s="25"/>
      <c r="D17" s="25"/>
      <c r="E17" s="25"/>
      <c r="F17" s="25"/>
      <c r="G17" s="25"/>
    </row>
    <row r="18" spans="1:7" ht="19.95" customHeight="1" x14ac:dyDescent="0.3">
      <c r="C18" s="282" t="s">
        <v>694</v>
      </c>
      <c r="E18" s="283" t="str">
        <f ca="1">IF(COUNTIF(E6:E15,"FAIL")=0,"PASS","FAIL")</f>
        <v>PASS</v>
      </c>
      <c r="G18" s="284" t="s">
        <v>695</v>
      </c>
    </row>
    <row r="20" spans="1:7" ht="40.049999999999997" customHeight="1" x14ac:dyDescent="0.3">
      <c r="C20" s="296" t="s">
        <v>696</v>
      </c>
      <c r="D20" s="297"/>
      <c r="E20" s="297"/>
      <c r="F20" s="297"/>
      <c r="G20" s="297"/>
    </row>
  </sheetData>
  <mergeCells count="5">
    <mergeCell ref="A1:D1"/>
    <mergeCell ref="C20:G20"/>
    <mergeCell ref="E1:F1"/>
    <mergeCell ref="G1"/>
    <mergeCell ref="A2:G2"/>
  </mergeCells>
  <conditionalFormatting sqref="E6:E15">
    <cfRule type="expression" dxfId="0" priority="1">
      <formula>E6="FAIL"</formula>
    </cfRule>
  </conditionalFormatting>
  <hyperlinks>
    <hyperlink ref="E1" location="Cover!A1" display="◄  Cover"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8BAC0"/>
  </sheetPr>
  <dimension ref="A1:L38"/>
  <sheetViews>
    <sheetView showGridLines="0" workbookViewId="0">
      <selection activeCell="F25" sqref="F25"/>
    </sheetView>
  </sheetViews>
  <sheetFormatPr defaultRowHeight="14.4" x14ac:dyDescent="0.3"/>
  <cols>
    <col min="1" max="1" width="2.21875" customWidth="1"/>
    <col min="2" max="2" width="20" customWidth="1"/>
    <col min="3" max="3" width="34" customWidth="1"/>
    <col min="4" max="4" width="17" customWidth="1"/>
    <col min="5" max="6" width="14" customWidth="1"/>
    <col min="7" max="7" width="9" customWidth="1"/>
    <col min="8" max="8" width="40" customWidth="1"/>
    <col min="9" max="10" width="13" customWidth="1"/>
    <col min="11" max="11" width="44" customWidth="1"/>
    <col min="12" max="12" width="50" customWidth="1"/>
  </cols>
  <sheetData>
    <row r="1" spans="1:12" ht="27" customHeight="1" x14ac:dyDescent="0.3">
      <c r="A1" s="301" t="s">
        <v>1</v>
      </c>
      <c r="B1" s="299"/>
      <c r="C1" s="299"/>
      <c r="D1" s="299"/>
      <c r="E1" s="298" t="s">
        <v>71</v>
      </c>
      <c r="F1" s="299"/>
      <c r="G1" s="304" t="s">
        <v>697</v>
      </c>
      <c r="H1" s="299"/>
      <c r="I1" s="299"/>
      <c r="J1" s="299"/>
      <c r="K1" s="299"/>
      <c r="L1" s="299"/>
    </row>
    <row r="2" spans="1:12" ht="13.05" customHeight="1" x14ac:dyDescent="0.3">
      <c r="A2" s="303" t="s">
        <v>698</v>
      </c>
      <c r="B2" s="297"/>
      <c r="C2" s="297"/>
      <c r="D2" s="297"/>
      <c r="E2" s="297"/>
      <c r="F2" s="297"/>
      <c r="G2" s="297"/>
      <c r="H2" s="297"/>
      <c r="I2" s="297"/>
      <c r="J2" s="297"/>
      <c r="K2" s="297"/>
      <c r="L2" s="297"/>
    </row>
    <row r="3" spans="1:12" ht="6" customHeight="1" x14ac:dyDescent="0.3"/>
    <row r="4" spans="1:12" ht="16.95" customHeight="1" x14ac:dyDescent="0.3">
      <c r="A4" s="24" t="s">
        <v>699</v>
      </c>
      <c r="B4" s="25"/>
      <c r="C4" s="25"/>
      <c r="D4" s="25"/>
      <c r="E4" s="25"/>
      <c r="F4" s="25"/>
      <c r="G4" s="25"/>
      <c r="H4" s="25"/>
      <c r="I4" s="25"/>
      <c r="J4" s="25"/>
      <c r="K4" s="25"/>
      <c r="L4" s="25"/>
    </row>
    <row r="5" spans="1:12" ht="31.95" customHeight="1" x14ac:dyDescent="0.3">
      <c r="B5" s="296" t="s">
        <v>700</v>
      </c>
      <c r="C5" s="297"/>
      <c r="D5" s="297"/>
      <c r="E5" s="297"/>
      <c r="F5" s="297"/>
      <c r="G5" s="297"/>
      <c r="H5" s="297"/>
      <c r="I5" s="297"/>
      <c r="J5" s="297"/>
      <c r="K5" s="297"/>
      <c r="L5" s="297"/>
    </row>
    <row r="6" spans="1:12" ht="6" customHeight="1" x14ac:dyDescent="0.3"/>
    <row r="7" spans="1:12" ht="30" customHeight="1" x14ac:dyDescent="0.3">
      <c r="B7" s="110" t="s">
        <v>701</v>
      </c>
      <c r="C7" s="111" t="s">
        <v>572</v>
      </c>
      <c r="D7" s="111" t="s">
        <v>346</v>
      </c>
      <c r="E7" s="111" t="s">
        <v>702</v>
      </c>
      <c r="F7" s="111" t="s">
        <v>623</v>
      </c>
      <c r="G7" s="111" t="s">
        <v>76</v>
      </c>
      <c r="H7" s="111" t="s">
        <v>703</v>
      </c>
      <c r="I7" s="111" t="s">
        <v>704</v>
      </c>
      <c r="J7" s="111" t="s">
        <v>705</v>
      </c>
      <c r="K7" s="111" t="s">
        <v>706</v>
      </c>
      <c r="L7" s="111" t="s">
        <v>707</v>
      </c>
    </row>
    <row r="8" spans="1:12" ht="25.95" customHeight="1" x14ac:dyDescent="0.3">
      <c r="B8" s="285" t="s">
        <v>708</v>
      </c>
      <c r="C8" s="286" t="s">
        <v>709</v>
      </c>
      <c r="D8" s="286" t="s">
        <v>383</v>
      </c>
      <c r="E8" s="286" t="s">
        <v>710</v>
      </c>
      <c r="F8" s="286" t="s">
        <v>711</v>
      </c>
      <c r="G8" s="286" t="s">
        <v>97</v>
      </c>
      <c r="H8" s="286" t="s">
        <v>712</v>
      </c>
      <c r="I8" s="286" t="s">
        <v>713</v>
      </c>
      <c r="J8" s="286" t="s">
        <v>714</v>
      </c>
      <c r="K8" s="286" t="s">
        <v>715</v>
      </c>
      <c r="L8" s="286" t="s">
        <v>716</v>
      </c>
    </row>
    <row r="9" spans="1:12" ht="25.95" customHeight="1" x14ac:dyDescent="0.3">
      <c r="B9" s="287" t="s">
        <v>708</v>
      </c>
      <c r="C9" s="288" t="s">
        <v>717</v>
      </c>
      <c r="D9" s="288" t="s">
        <v>383</v>
      </c>
      <c r="E9" s="288" t="s">
        <v>710</v>
      </c>
      <c r="F9" s="288" t="s">
        <v>718</v>
      </c>
      <c r="G9" s="288" t="s">
        <v>97</v>
      </c>
      <c r="H9" s="288" t="s">
        <v>712</v>
      </c>
      <c r="I9" s="288" t="s">
        <v>713</v>
      </c>
      <c r="J9" s="288" t="s">
        <v>714</v>
      </c>
      <c r="K9" s="288" t="s">
        <v>715</v>
      </c>
      <c r="L9" s="288" t="s">
        <v>719</v>
      </c>
    </row>
    <row r="10" spans="1:12" ht="25.95" customHeight="1" x14ac:dyDescent="0.3">
      <c r="B10" s="285" t="s">
        <v>708</v>
      </c>
      <c r="C10" s="286" t="s">
        <v>720</v>
      </c>
      <c r="D10" s="286" t="s">
        <v>383</v>
      </c>
      <c r="E10" s="286" t="s">
        <v>710</v>
      </c>
      <c r="F10" s="286" t="s">
        <v>721</v>
      </c>
      <c r="G10" s="286" t="s">
        <v>97</v>
      </c>
      <c r="H10" s="286" t="s">
        <v>712</v>
      </c>
      <c r="I10" s="286" t="s">
        <v>713</v>
      </c>
      <c r="J10" s="286" t="s">
        <v>714</v>
      </c>
      <c r="K10" s="286" t="s">
        <v>715</v>
      </c>
      <c r="L10" s="286" t="s">
        <v>722</v>
      </c>
    </row>
    <row r="11" spans="1:12" ht="25.95" customHeight="1" x14ac:dyDescent="0.3">
      <c r="B11" s="287" t="s">
        <v>708</v>
      </c>
      <c r="C11" s="288" t="s">
        <v>723</v>
      </c>
      <c r="D11" s="288" t="s">
        <v>383</v>
      </c>
      <c r="E11" s="288" t="s">
        <v>710</v>
      </c>
      <c r="F11" s="288" t="s">
        <v>724</v>
      </c>
      <c r="G11" s="288" t="s">
        <v>97</v>
      </c>
      <c r="H11" s="288" t="s">
        <v>725</v>
      </c>
      <c r="I11" s="288" t="s">
        <v>713</v>
      </c>
      <c r="J11" s="288" t="s">
        <v>714</v>
      </c>
      <c r="K11" s="288" t="s">
        <v>715</v>
      </c>
      <c r="L11" s="288" t="s">
        <v>726</v>
      </c>
    </row>
    <row r="12" spans="1:12" ht="25.95" customHeight="1" x14ac:dyDescent="0.3">
      <c r="B12" s="285" t="s">
        <v>727</v>
      </c>
      <c r="C12" s="286" t="s">
        <v>728</v>
      </c>
      <c r="D12" s="286" t="s">
        <v>383</v>
      </c>
      <c r="E12" s="286" t="s">
        <v>710</v>
      </c>
      <c r="F12" s="286" t="s">
        <v>729</v>
      </c>
      <c r="G12" s="286" t="s">
        <v>91</v>
      </c>
      <c r="H12" s="286" t="s">
        <v>730</v>
      </c>
      <c r="I12" s="286" t="s">
        <v>731</v>
      </c>
      <c r="J12" s="286" t="s">
        <v>714</v>
      </c>
      <c r="K12" s="286" t="s">
        <v>732</v>
      </c>
      <c r="L12" s="286" t="s">
        <v>733</v>
      </c>
    </row>
    <row r="13" spans="1:12" ht="25.95" customHeight="1" x14ac:dyDescent="0.3">
      <c r="B13" s="287" t="s">
        <v>727</v>
      </c>
      <c r="C13" s="288" t="s">
        <v>734</v>
      </c>
      <c r="D13" s="288" t="s">
        <v>383</v>
      </c>
      <c r="E13" s="288" t="s">
        <v>710</v>
      </c>
      <c r="F13" s="288" t="s">
        <v>735</v>
      </c>
      <c r="G13" s="288" t="s">
        <v>97</v>
      </c>
      <c r="H13" s="288" t="s">
        <v>736</v>
      </c>
      <c r="I13" s="288" t="s">
        <v>713</v>
      </c>
      <c r="J13" s="288" t="s">
        <v>714</v>
      </c>
      <c r="K13" s="288" t="s">
        <v>715</v>
      </c>
      <c r="L13" s="288" t="s">
        <v>737</v>
      </c>
    </row>
    <row r="14" spans="1:12" ht="25.95" customHeight="1" x14ac:dyDescent="0.3">
      <c r="B14" s="285" t="s">
        <v>727</v>
      </c>
      <c r="C14" s="286" t="s">
        <v>738</v>
      </c>
      <c r="D14" s="286" t="s">
        <v>383</v>
      </c>
      <c r="E14" s="286" t="s">
        <v>739</v>
      </c>
      <c r="F14" s="289">
        <v>3.99</v>
      </c>
      <c r="G14" s="286" t="s">
        <v>167</v>
      </c>
      <c r="H14" s="286" t="s">
        <v>740</v>
      </c>
      <c r="I14" s="286" t="s">
        <v>741</v>
      </c>
      <c r="J14" s="286" t="s">
        <v>741</v>
      </c>
      <c r="K14" s="286" t="s">
        <v>742</v>
      </c>
      <c r="L14" s="286" t="s">
        <v>743</v>
      </c>
    </row>
    <row r="15" spans="1:12" ht="25.95" customHeight="1" x14ac:dyDescent="0.3">
      <c r="B15" s="287" t="s">
        <v>727</v>
      </c>
      <c r="C15" s="288" t="s">
        <v>738</v>
      </c>
      <c r="D15" s="288" t="s">
        <v>383</v>
      </c>
      <c r="E15" s="288" t="s">
        <v>744</v>
      </c>
      <c r="F15" s="290">
        <v>6.5</v>
      </c>
      <c r="G15" s="288" t="s">
        <v>167</v>
      </c>
      <c r="H15" s="288" t="s">
        <v>745</v>
      </c>
      <c r="I15" s="288" t="s">
        <v>741</v>
      </c>
      <c r="J15" s="288" t="s">
        <v>741</v>
      </c>
      <c r="K15" s="288" t="s">
        <v>742</v>
      </c>
      <c r="L15" s="288" t="s">
        <v>746</v>
      </c>
    </row>
    <row r="16" spans="1:12" ht="25.95" customHeight="1" x14ac:dyDescent="0.3">
      <c r="B16" s="285" t="s">
        <v>727</v>
      </c>
      <c r="C16" s="286" t="s">
        <v>738</v>
      </c>
      <c r="D16" s="286" t="s">
        <v>383</v>
      </c>
      <c r="E16" s="286" t="s">
        <v>747</v>
      </c>
      <c r="F16" s="289">
        <v>14.7</v>
      </c>
      <c r="G16" s="286" t="s">
        <v>167</v>
      </c>
      <c r="H16" s="286" t="s">
        <v>748</v>
      </c>
      <c r="I16" s="286" t="s">
        <v>741</v>
      </c>
      <c r="J16" s="286" t="s">
        <v>714</v>
      </c>
      <c r="K16" s="286" t="s">
        <v>749</v>
      </c>
      <c r="L16" s="286" t="s">
        <v>746</v>
      </c>
    </row>
    <row r="17" spans="2:12" ht="25.95" customHeight="1" x14ac:dyDescent="0.3">
      <c r="B17" s="287" t="s">
        <v>727</v>
      </c>
      <c r="C17" s="288" t="s">
        <v>738</v>
      </c>
      <c r="D17" s="288" t="s">
        <v>383</v>
      </c>
      <c r="E17" s="288" t="s">
        <v>750</v>
      </c>
      <c r="F17" s="290">
        <v>31.4</v>
      </c>
      <c r="G17" s="288" t="s">
        <v>167</v>
      </c>
      <c r="H17" s="288" t="s">
        <v>751</v>
      </c>
      <c r="I17" s="288" t="s">
        <v>741</v>
      </c>
      <c r="J17" s="288" t="s">
        <v>714</v>
      </c>
      <c r="K17" s="288" t="s">
        <v>752</v>
      </c>
      <c r="L17" s="288" t="s">
        <v>746</v>
      </c>
    </row>
    <row r="18" spans="2:12" ht="25.95" customHeight="1" x14ac:dyDescent="0.3">
      <c r="B18" s="285" t="s">
        <v>727</v>
      </c>
      <c r="C18" s="286" t="s">
        <v>738</v>
      </c>
      <c r="D18" s="286" t="s">
        <v>383</v>
      </c>
      <c r="E18" s="286" t="s">
        <v>753</v>
      </c>
      <c r="F18" s="289">
        <v>46.7</v>
      </c>
      <c r="G18" s="286" t="s">
        <v>167</v>
      </c>
      <c r="H18" s="286" t="s">
        <v>754</v>
      </c>
      <c r="I18" s="286" t="s">
        <v>741</v>
      </c>
      <c r="J18" s="286" t="s">
        <v>714</v>
      </c>
      <c r="K18" s="286" t="s">
        <v>755</v>
      </c>
      <c r="L18" s="286" t="s">
        <v>756</v>
      </c>
    </row>
    <row r="19" spans="2:12" ht="25.95" customHeight="1" x14ac:dyDescent="0.3">
      <c r="B19" s="287" t="s">
        <v>757</v>
      </c>
      <c r="C19" s="288" t="s">
        <v>758</v>
      </c>
      <c r="D19" s="288" t="s">
        <v>383</v>
      </c>
      <c r="E19" s="288" t="s">
        <v>753</v>
      </c>
      <c r="F19" s="291">
        <v>44059</v>
      </c>
      <c r="G19" s="288" t="s">
        <v>97</v>
      </c>
      <c r="H19" s="288" t="s">
        <v>759</v>
      </c>
      <c r="I19" s="288" t="s">
        <v>713</v>
      </c>
      <c r="J19" s="288" t="s">
        <v>714</v>
      </c>
      <c r="K19" s="288" t="s">
        <v>715</v>
      </c>
      <c r="L19" s="288" t="s">
        <v>760</v>
      </c>
    </row>
    <row r="20" spans="2:12" ht="25.95" customHeight="1" x14ac:dyDescent="0.3">
      <c r="B20" s="285" t="s">
        <v>757</v>
      </c>
      <c r="C20" s="286" t="s">
        <v>761</v>
      </c>
      <c r="D20" s="286" t="s">
        <v>383</v>
      </c>
      <c r="E20" s="286" t="s">
        <v>753</v>
      </c>
      <c r="F20" s="292">
        <v>8376</v>
      </c>
      <c r="G20" s="286" t="s">
        <v>97</v>
      </c>
      <c r="H20" s="286" t="s">
        <v>762</v>
      </c>
      <c r="I20" s="286" t="s">
        <v>713</v>
      </c>
      <c r="J20" s="286" t="s">
        <v>714</v>
      </c>
      <c r="K20" s="286" t="s">
        <v>715</v>
      </c>
      <c r="L20" s="286" t="s">
        <v>763</v>
      </c>
    </row>
    <row r="21" spans="2:12" ht="25.95" customHeight="1" x14ac:dyDescent="0.3">
      <c r="B21" s="287" t="s">
        <v>757</v>
      </c>
      <c r="C21" s="288" t="s">
        <v>764</v>
      </c>
      <c r="D21" s="288" t="s">
        <v>383</v>
      </c>
      <c r="E21" s="288" t="s">
        <v>753</v>
      </c>
      <c r="F21" s="290">
        <v>728</v>
      </c>
      <c r="G21" s="288" t="s">
        <v>97</v>
      </c>
      <c r="H21" s="288" t="s">
        <v>765</v>
      </c>
      <c r="I21" s="288" t="s">
        <v>713</v>
      </c>
      <c r="J21" s="288" t="s">
        <v>714</v>
      </c>
      <c r="K21" s="288" t="s">
        <v>715</v>
      </c>
      <c r="L21" s="288" t="s">
        <v>766</v>
      </c>
    </row>
    <row r="22" spans="2:12" ht="25.95" customHeight="1" x14ac:dyDescent="0.3">
      <c r="B22" s="285" t="s">
        <v>767</v>
      </c>
      <c r="C22" s="286" t="s">
        <v>768</v>
      </c>
      <c r="D22" s="286" t="s">
        <v>383</v>
      </c>
      <c r="E22" s="286" t="s">
        <v>769</v>
      </c>
      <c r="F22" s="292">
        <v>3950</v>
      </c>
      <c r="G22" s="286" t="s">
        <v>141</v>
      </c>
      <c r="H22" s="286" t="s">
        <v>770</v>
      </c>
      <c r="I22" s="286" t="s">
        <v>771</v>
      </c>
      <c r="J22" s="286" t="s">
        <v>714</v>
      </c>
      <c r="K22" s="286" t="s">
        <v>772</v>
      </c>
      <c r="L22" s="286" t="s">
        <v>773</v>
      </c>
    </row>
    <row r="23" spans="2:12" ht="25.95" customHeight="1" x14ac:dyDescent="0.3">
      <c r="B23" s="287" t="s">
        <v>14</v>
      </c>
      <c r="C23" s="288" t="s">
        <v>774</v>
      </c>
      <c r="D23" s="288" t="s">
        <v>383</v>
      </c>
      <c r="E23" s="288" t="s">
        <v>775</v>
      </c>
      <c r="F23" s="290">
        <v>376.37</v>
      </c>
      <c r="G23" s="288" t="s">
        <v>140</v>
      </c>
      <c r="H23" s="288" t="s">
        <v>776</v>
      </c>
      <c r="I23" s="288" t="s">
        <v>775</v>
      </c>
      <c r="J23" s="288" t="s">
        <v>714</v>
      </c>
      <c r="K23" s="288" t="s">
        <v>777</v>
      </c>
      <c r="L23" s="288" t="s">
        <v>778</v>
      </c>
    </row>
    <row r="24" spans="2:12" ht="25.95" customHeight="1" x14ac:dyDescent="0.3">
      <c r="B24" s="285" t="s">
        <v>14</v>
      </c>
      <c r="C24" s="286" t="s">
        <v>779</v>
      </c>
      <c r="D24" s="286" t="s">
        <v>780</v>
      </c>
      <c r="E24" s="286" t="s">
        <v>775</v>
      </c>
      <c r="F24" s="293">
        <v>4.7699999999999996</v>
      </c>
      <c r="G24" s="286" t="s">
        <v>575</v>
      </c>
      <c r="H24" s="286" t="s">
        <v>781</v>
      </c>
      <c r="I24" s="286" t="s">
        <v>775</v>
      </c>
      <c r="J24" s="286" t="s">
        <v>714</v>
      </c>
      <c r="K24" s="286" t="s">
        <v>782</v>
      </c>
      <c r="L24" s="286" t="s">
        <v>783</v>
      </c>
    </row>
    <row r="25" spans="2:12" ht="25.95" customHeight="1" x14ac:dyDescent="0.3">
      <c r="B25" s="287" t="s">
        <v>14</v>
      </c>
      <c r="C25" s="288" t="s">
        <v>784</v>
      </c>
      <c r="D25" s="288" t="s">
        <v>383</v>
      </c>
      <c r="E25" s="288" t="s">
        <v>775</v>
      </c>
      <c r="F25" s="290">
        <v>1.85</v>
      </c>
      <c r="G25" s="288" t="s">
        <v>618</v>
      </c>
      <c r="H25" s="288" t="s">
        <v>785</v>
      </c>
      <c r="I25" s="288" t="s">
        <v>786</v>
      </c>
      <c r="J25" s="288" t="s">
        <v>714</v>
      </c>
      <c r="K25" s="288" t="s">
        <v>777</v>
      </c>
      <c r="L25" s="288" t="s">
        <v>787</v>
      </c>
    </row>
    <row r="26" spans="2:12" ht="25.95" customHeight="1" x14ac:dyDescent="0.3">
      <c r="B26" s="285" t="s">
        <v>14</v>
      </c>
      <c r="C26" s="286" t="s">
        <v>788</v>
      </c>
      <c r="D26" s="286" t="s">
        <v>789</v>
      </c>
      <c r="E26" s="286" t="s">
        <v>769</v>
      </c>
      <c r="F26" s="294">
        <v>4.1399999999999997</v>
      </c>
      <c r="G26" s="286" t="s">
        <v>575</v>
      </c>
      <c r="H26" s="286" t="s">
        <v>790</v>
      </c>
      <c r="I26" s="286" t="s">
        <v>791</v>
      </c>
      <c r="J26" s="286" t="s">
        <v>714</v>
      </c>
      <c r="K26" s="286" t="s">
        <v>792</v>
      </c>
      <c r="L26" s="286" t="s">
        <v>793</v>
      </c>
    </row>
    <row r="27" spans="2:12" ht="25.95" customHeight="1" x14ac:dyDescent="0.3">
      <c r="B27" s="287" t="s">
        <v>14</v>
      </c>
      <c r="C27" s="288" t="s">
        <v>794</v>
      </c>
      <c r="D27" s="288" t="s">
        <v>383</v>
      </c>
      <c r="E27" s="288" t="s">
        <v>769</v>
      </c>
      <c r="F27" s="295">
        <v>5</v>
      </c>
      <c r="G27" s="288" t="s">
        <v>575</v>
      </c>
      <c r="H27" s="288" t="s">
        <v>795</v>
      </c>
      <c r="I27" s="288" t="s">
        <v>786</v>
      </c>
      <c r="J27" s="288" t="s">
        <v>714</v>
      </c>
      <c r="K27" s="288" t="s">
        <v>715</v>
      </c>
      <c r="L27" s="288" t="s">
        <v>796</v>
      </c>
    </row>
    <row r="28" spans="2:12" ht="25.95" customHeight="1" x14ac:dyDescent="0.3">
      <c r="B28" s="285" t="s">
        <v>797</v>
      </c>
      <c r="C28" s="286" t="s">
        <v>798</v>
      </c>
      <c r="D28" s="286" t="s">
        <v>799</v>
      </c>
      <c r="E28" s="286" t="s">
        <v>800</v>
      </c>
      <c r="F28" s="286" t="s">
        <v>801</v>
      </c>
      <c r="G28" s="286" t="s">
        <v>802</v>
      </c>
      <c r="H28" s="286" t="s">
        <v>803</v>
      </c>
      <c r="I28" s="286" t="s">
        <v>741</v>
      </c>
      <c r="J28" s="286" t="s">
        <v>714</v>
      </c>
      <c r="K28" s="286" t="s">
        <v>804</v>
      </c>
      <c r="L28" s="286" t="s">
        <v>805</v>
      </c>
    </row>
    <row r="29" spans="2:12" ht="25.95" customHeight="1" x14ac:dyDescent="0.3">
      <c r="B29" s="287" t="s">
        <v>797</v>
      </c>
      <c r="C29" s="288" t="s">
        <v>806</v>
      </c>
      <c r="D29" s="288" t="s">
        <v>383</v>
      </c>
      <c r="E29" s="288" t="s">
        <v>807</v>
      </c>
      <c r="F29" s="288" t="s">
        <v>808</v>
      </c>
      <c r="G29" s="288" t="s">
        <v>97</v>
      </c>
      <c r="H29" s="288" t="s">
        <v>809</v>
      </c>
      <c r="I29" s="288" t="s">
        <v>713</v>
      </c>
      <c r="J29" s="288" t="s">
        <v>714</v>
      </c>
      <c r="K29" s="288" t="s">
        <v>772</v>
      </c>
      <c r="L29" s="288" t="s">
        <v>810</v>
      </c>
    </row>
    <row r="30" spans="2:12" ht="25.95" customHeight="1" x14ac:dyDescent="0.3">
      <c r="B30" s="285" t="s">
        <v>811</v>
      </c>
      <c r="C30" s="286" t="s">
        <v>812</v>
      </c>
      <c r="D30" s="286" t="s">
        <v>436</v>
      </c>
      <c r="E30" s="286" t="s">
        <v>813</v>
      </c>
      <c r="F30" s="292">
        <v>1200</v>
      </c>
      <c r="G30" s="286" t="s">
        <v>97</v>
      </c>
      <c r="H30" s="286" t="s">
        <v>814</v>
      </c>
      <c r="I30" s="286" t="s">
        <v>815</v>
      </c>
      <c r="J30" s="286" t="s">
        <v>714</v>
      </c>
      <c r="K30" s="286" t="s">
        <v>816</v>
      </c>
      <c r="L30" s="286" t="s">
        <v>817</v>
      </c>
    </row>
    <row r="31" spans="2:12" ht="25.95" customHeight="1" x14ac:dyDescent="0.3">
      <c r="B31" s="287" t="s">
        <v>811</v>
      </c>
      <c r="C31" s="288" t="s">
        <v>818</v>
      </c>
      <c r="D31" s="288" t="s">
        <v>441</v>
      </c>
      <c r="E31" s="288" t="s">
        <v>819</v>
      </c>
      <c r="F31" s="291">
        <v>2100</v>
      </c>
      <c r="G31" s="288" t="s">
        <v>97</v>
      </c>
      <c r="H31" s="288" t="s">
        <v>820</v>
      </c>
      <c r="I31" s="288" t="s">
        <v>821</v>
      </c>
      <c r="J31" s="288" t="s">
        <v>714</v>
      </c>
      <c r="K31" s="288" t="s">
        <v>822</v>
      </c>
      <c r="L31" s="288" t="s">
        <v>823</v>
      </c>
    </row>
    <row r="32" spans="2:12" ht="25.95" customHeight="1" x14ac:dyDescent="0.3">
      <c r="B32" s="285" t="s">
        <v>811</v>
      </c>
      <c r="C32" s="286" t="s">
        <v>824</v>
      </c>
      <c r="D32" s="286" t="s">
        <v>825</v>
      </c>
      <c r="E32" s="286" t="s">
        <v>826</v>
      </c>
      <c r="F32" s="289">
        <v>230</v>
      </c>
      <c r="G32" s="286" t="s">
        <v>97</v>
      </c>
      <c r="H32" s="286" t="s">
        <v>827</v>
      </c>
      <c r="I32" s="286" t="s">
        <v>828</v>
      </c>
      <c r="J32" s="286" t="s">
        <v>714</v>
      </c>
      <c r="K32" s="286" t="s">
        <v>829</v>
      </c>
      <c r="L32" s="286" t="s">
        <v>830</v>
      </c>
    </row>
    <row r="33" spans="2:12" ht="25.95" customHeight="1" x14ac:dyDescent="0.3">
      <c r="B33" s="287" t="s">
        <v>811</v>
      </c>
      <c r="C33" s="288" t="s">
        <v>831</v>
      </c>
      <c r="D33" s="288" t="s">
        <v>449</v>
      </c>
      <c r="E33" s="288" t="s">
        <v>832</v>
      </c>
      <c r="F33" s="290">
        <v>882</v>
      </c>
      <c r="G33" s="288" t="s">
        <v>97</v>
      </c>
      <c r="H33" s="288" t="s">
        <v>833</v>
      </c>
      <c r="I33" s="288" t="s">
        <v>834</v>
      </c>
      <c r="J33" s="288" t="s">
        <v>714</v>
      </c>
      <c r="K33" s="288" t="s">
        <v>835</v>
      </c>
      <c r="L33" s="288" t="s">
        <v>836</v>
      </c>
    </row>
    <row r="34" spans="2:12" ht="25.95" customHeight="1" x14ac:dyDescent="0.3">
      <c r="B34" s="285" t="s">
        <v>811</v>
      </c>
      <c r="C34" s="286" t="s">
        <v>837</v>
      </c>
      <c r="D34" s="286" t="s">
        <v>838</v>
      </c>
      <c r="E34" s="286" t="s">
        <v>839</v>
      </c>
      <c r="F34" s="292">
        <v>1100</v>
      </c>
      <c r="G34" s="286" t="s">
        <v>97</v>
      </c>
      <c r="H34" s="286" t="s">
        <v>840</v>
      </c>
      <c r="I34" s="286" t="s">
        <v>841</v>
      </c>
      <c r="J34" s="286" t="s">
        <v>714</v>
      </c>
      <c r="K34" s="286" t="s">
        <v>842</v>
      </c>
      <c r="L34" s="286" t="s">
        <v>843</v>
      </c>
    </row>
    <row r="35" spans="2:12" ht="25.95" customHeight="1" x14ac:dyDescent="0.3">
      <c r="B35" s="287" t="s">
        <v>844</v>
      </c>
      <c r="C35" s="288" t="s">
        <v>845</v>
      </c>
      <c r="D35" s="288" t="s">
        <v>383</v>
      </c>
      <c r="E35" s="288" t="s">
        <v>846</v>
      </c>
      <c r="F35" s="288" t="s">
        <v>847</v>
      </c>
      <c r="G35" s="288" t="s">
        <v>848</v>
      </c>
      <c r="H35" s="288" t="s">
        <v>849</v>
      </c>
      <c r="I35" s="288" t="s">
        <v>741</v>
      </c>
      <c r="J35" s="288" t="s">
        <v>741</v>
      </c>
      <c r="K35" s="288" t="s">
        <v>850</v>
      </c>
      <c r="L35" s="288" t="s">
        <v>851</v>
      </c>
    </row>
    <row r="36" spans="2:12" ht="25.95" customHeight="1" x14ac:dyDescent="0.3">
      <c r="B36" s="285" t="s">
        <v>844</v>
      </c>
      <c r="C36" s="286" t="s">
        <v>852</v>
      </c>
      <c r="D36" s="286" t="s">
        <v>383</v>
      </c>
      <c r="E36" s="286" t="s">
        <v>846</v>
      </c>
      <c r="F36" s="286" t="s">
        <v>853</v>
      </c>
      <c r="G36" s="286" t="s">
        <v>848</v>
      </c>
      <c r="H36" s="286" t="s">
        <v>854</v>
      </c>
      <c r="I36" s="286" t="s">
        <v>741</v>
      </c>
      <c r="J36" s="286" t="s">
        <v>741</v>
      </c>
      <c r="K36" s="286" t="s">
        <v>850</v>
      </c>
      <c r="L36" s="286" t="s">
        <v>855</v>
      </c>
    </row>
    <row r="37" spans="2:12" ht="7.95" customHeight="1" x14ac:dyDescent="0.3"/>
    <row r="38" spans="2:12" ht="28.05" customHeight="1" x14ac:dyDescent="0.3">
      <c r="B38" s="296" t="s">
        <v>856</v>
      </c>
      <c r="C38" s="297"/>
      <c r="D38" s="297"/>
      <c r="E38" s="297"/>
      <c r="F38" s="297"/>
      <c r="G38" s="297"/>
      <c r="H38" s="297"/>
      <c r="I38" s="297"/>
      <c r="J38" s="297"/>
      <c r="K38" s="297"/>
      <c r="L38" s="297"/>
    </row>
  </sheetData>
  <mergeCells count="6">
    <mergeCell ref="A1:D1"/>
    <mergeCell ref="A2:L2"/>
    <mergeCell ref="G1:L1"/>
    <mergeCell ref="B38:L38"/>
    <mergeCell ref="E1:F1"/>
    <mergeCell ref="B5:L5"/>
  </mergeCells>
  <hyperlinks>
    <hyperlink ref="E1" location="Cover!A1" display="◄  Cover" xr:uid="{00000000-0004-0000-1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Model Summary</vt:lpstr>
      <vt:lpstr>Assumptions</vt:lpstr>
      <vt:lpstr>Revenue Build-up</vt:lpstr>
      <vt:lpstr>Cost Build-up</vt:lpstr>
      <vt:lpstr>IS</vt:lpstr>
      <vt:lpstr>BS</vt:lpstr>
      <vt:lpstr>Asset Schedule</vt:lpstr>
      <vt:lpstr>Loans &amp; Other Income</vt:lpstr>
      <vt:lpstr>Tax Schedule</vt:lpstr>
      <vt:lpstr>Equity Schedule</vt:lpstr>
      <vt:lpstr>Cashflow</vt:lpstr>
      <vt:lpstr>Ratio Analysis</vt:lpstr>
      <vt:lpstr>Comparable Companies</vt:lpstr>
      <vt:lpstr>Precedent Transactions</vt:lpstr>
      <vt:lpstr>Valuation</vt:lpstr>
      <vt:lpstr>Scenario Analysis</vt:lpstr>
      <vt:lpstr>Reverse DCF</vt:lpstr>
      <vt:lpstr>Model Checks</vt:lpstr>
      <vt:lpstr>Sources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Andhrutkar</dc:creator>
  <cp:lastModifiedBy>Yash Andhrutkar</cp:lastModifiedBy>
  <dcterms:created xsi:type="dcterms:W3CDTF">2026-09-07T13:53:27Z</dcterms:created>
  <dcterms:modified xsi:type="dcterms:W3CDTF">2026-09-08T05:44:03Z</dcterms:modified>
</cp:coreProperties>
</file>